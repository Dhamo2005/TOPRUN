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SMB\MORNING MEETING REPORT TEMPLATE\"/>
    </mc:Choice>
  </mc:AlternateContent>
  <bookViews>
    <workbookView xWindow="0" yWindow="0" windowWidth="21600" windowHeight="9480" tabRatio="369" activeTab="1"/>
  </bookViews>
  <sheets>
    <sheet name="Startup" sheetId="1" r:id="rId1"/>
    <sheet name="Process" sheetId="2" r:id="rId2"/>
    <sheet name="Publish" sheetId="3" r:id="rId3"/>
  </sheets>
  <functionGroups builtInGroupCount="18"/>
  <definedNames>
    <definedName name="_xleta.SUM" hidden="1" xlm="1">#NAME?</definedName>
    <definedName name="_xleta.TEXT" hidden="1" xlm="1">#NAME?</definedName>
    <definedName name="Startup">Startup!$A$5:$W$51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1" i="2" l="1"/>
  <c r="R14" i="2"/>
  <c r="R17" i="2"/>
  <c r="R12" i="2"/>
  <c r="R13" i="2"/>
  <c r="R15" i="2"/>
  <c r="R16" i="2"/>
  <c r="R18" i="2"/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R14" i="1"/>
  <c r="R22" i="1"/>
  <c r="R30" i="1"/>
  <c r="R38" i="1"/>
  <c r="R15" i="1"/>
  <c r="R23" i="1"/>
  <c r="R31" i="1"/>
  <c r="R39" i="1"/>
  <c r="R16" i="1"/>
  <c r="R24" i="1"/>
  <c r="R32" i="1"/>
  <c r="R40" i="1"/>
  <c r="R17" i="1"/>
  <c r="R25" i="1"/>
  <c r="R33" i="1"/>
  <c r="R18" i="1"/>
  <c r="R26" i="1"/>
  <c r="R34" i="1"/>
  <c r="R19" i="1"/>
  <c r="R27" i="1"/>
  <c r="R35" i="1"/>
  <c r="R12" i="1"/>
  <c r="R20" i="1"/>
  <c r="R28" i="1"/>
  <c r="R36" i="1"/>
  <c r="R13" i="1"/>
  <c r="R29" i="1"/>
  <c r="R37" i="1"/>
  <c r="R21" i="1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7" i="2" s="1"/>
  <c r="Z11" i="1" l="1"/>
  <c r="Y11" i="1"/>
  <c r="X11" i="1"/>
  <c r="R11" i="1"/>
  <c r="R7" i="1" s="1"/>
  <c r="L7" i="1"/>
  <c r="J7" i="1"/>
  <c r="I7" i="1"/>
  <c r="U7" i="1"/>
  <c r="H7" i="1"/>
  <c r="V7" i="1"/>
  <c r="N7" i="1"/>
  <c r="K7" i="1"/>
  <c r="P7" i="1"/>
  <c r="O7" i="1"/>
  <c r="M7" i="1"/>
  <c r="Q7" i="1"/>
  <c r="W7" i="1"/>
  <c r="Z7" i="1"/>
  <c r="Y7" i="1"/>
  <c r="X7" i="1"/>
  <c r="R9" i="1"/>
  <c r="G10" i="1" l="1"/>
  <c r="F10" i="1"/>
  <c r="E10" i="1"/>
  <c r="E9" i="1"/>
  <c r="E8" i="1"/>
  <c r="F8" i="1"/>
  <c r="G8" i="1"/>
  <c r="E7" i="1" s="1"/>
</calcChain>
</file>

<file path=xl/sharedStrings.xml><?xml version="1.0" encoding="utf-8"?>
<sst xmlns="http://schemas.openxmlformats.org/spreadsheetml/2006/main" count="425" uniqueCount="141">
  <si>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</si>
  <si>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</si>
  <si>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</si>
  <si>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</si>
  <si>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</si>
  <si>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</si>
  <si>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</si>
  <si>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</si>
  <si>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</si>
  <si>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</si>
  <si>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</si>
  <si>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</si>
  <si>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</si>
  <si>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</si>
  <si>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</si>
  <si>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</si>
  <si>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</si>
  <si>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</si>
  <si>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</si>
  <si>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</si>
  <si>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</si>
  <si>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</si>
  <si>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</si>
  <si>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</si>
  <si>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</si>
  <si>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</si>
  <si>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</si>
  <si>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</si>
  <si>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</si>
  <si>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</si>
  <si>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C:\Users\Lenovo\Desktop\Date.pptx</t>
  </si>
  <si>
    <t>1</t>
  </si>
  <si>
    <t>8</t>
  </si>
  <si>
    <t>2</t>
  </si>
  <si>
    <t>5</t>
  </si>
  <si>
    <t>6</t>
  </si>
  <si>
    <t>.</t>
  </si>
  <si>
    <t>18.09.2025</t>
  </si>
  <si>
    <t>LEVER ASSY-FR SEAT HGT_ADJM, RH NNB</t>
  </si>
  <si>
    <t>220-1</t>
  </si>
  <si>
    <t>QXI</t>
  </si>
  <si>
    <t>2+2</t>
  </si>
  <si>
    <t>14</t>
  </si>
  <si>
    <t>4</t>
  </si>
  <si>
    <t>9+9</t>
  </si>
  <si>
    <t>LEVER ASSY FRT SEAT H/ADJ RH AI3 T9Y</t>
  </si>
  <si>
    <t>AI3</t>
  </si>
  <si>
    <t>-</t>
  </si>
  <si>
    <t>HOUSING124W</t>
  </si>
  <si>
    <t>3</t>
  </si>
  <si>
    <t>220-2</t>
  </si>
  <si>
    <t>QU2I</t>
  </si>
  <si>
    <t>DR ASSY-PASSENGER AIRBAG RHD</t>
  </si>
  <si>
    <t>450-1</t>
  </si>
  <si>
    <t>PNL-ASSY C/PAD LWR DRIVER SIDE LHD -SSB MMH</t>
  </si>
  <si>
    <t>550-1</t>
  </si>
  <si>
    <t>PNL-ASSY C/PAD LWR DRIVER SIDE LHD -SSB YPK</t>
  </si>
  <si>
    <t>7</t>
  </si>
  <si>
    <t>PNL ASSY-CRASH PAD LWR D/SIDE MMH RHD</t>
  </si>
  <si>
    <t>COVER-GLOVE BOX RHD YPK</t>
  </si>
  <si>
    <t>550-2</t>
  </si>
  <si>
    <t>12</t>
  </si>
  <si>
    <t>COVER-GLOVE BOX RHD MMH</t>
  </si>
  <si>
    <t>COVER-GLOVE BOXNNB LHD</t>
  </si>
  <si>
    <t>550-3</t>
  </si>
  <si>
    <t>BN7I</t>
  </si>
  <si>
    <t>PNL ASSY-CRASH PAD LWR D/SIDE LHD NNB</t>
  </si>
  <si>
    <t>BRACKET - BASE A/T PSL LHD</t>
  </si>
  <si>
    <t>650-1</t>
  </si>
  <si>
    <t>SU2I</t>
  </si>
  <si>
    <t>SHROUD STRG/COL LWR + KEY</t>
  </si>
  <si>
    <t>650-2</t>
  </si>
  <si>
    <t>STIFFENER ASSY FR BUMPER LWR</t>
  </si>
  <si>
    <t>850-2</t>
  </si>
  <si>
    <t>BI3</t>
  </si>
  <si>
    <t>PNL ASSY-CRASH PAD CTR NNB LHD</t>
  </si>
  <si>
    <t>850-3</t>
  </si>
  <si>
    <t>HOUSING GLOVE BOX LHD NNB</t>
  </si>
  <si>
    <t>MOLDING BACK PANEL</t>
  </si>
  <si>
    <t>1050-1</t>
  </si>
  <si>
    <t>PS7I PE</t>
  </si>
  <si>
    <t>HOUSING-GLOVE BOX RHD-MMH</t>
  </si>
  <si>
    <t>1050-2</t>
  </si>
  <si>
    <t>HOUSING-GLOVE BOX RHD-YPK</t>
  </si>
  <si>
    <t>SIDE SILL LH / RH QXI</t>
  </si>
  <si>
    <t>1300-1</t>
  </si>
  <si>
    <t>3/3</t>
  </si>
  <si>
    <t>6/6</t>
  </si>
  <si>
    <t>1800-1</t>
  </si>
  <si>
    <t>16</t>
  </si>
  <si>
    <t>20</t>
  </si>
  <si>
    <t>PNL FR DR MAIN TRIM LH / RH YGN</t>
  </si>
  <si>
    <t>4/4</t>
  </si>
  <si>
    <t>PNL FR DR MAIN TRIM LH / RH NNB</t>
  </si>
  <si>
    <t>MOLDING ASSY SIDE SILL LH / RH OPT</t>
  </si>
  <si>
    <t>1800-2</t>
  </si>
  <si>
    <t>12/12</t>
  </si>
  <si>
    <t>TRIM-LUGG SIDE W/O SPKR,RH YGN</t>
  </si>
  <si>
    <t>2000-1</t>
  </si>
  <si>
    <t>TRIM LUGG SIDE W/O SPKR RH NNB</t>
  </si>
  <si>
    <t>TRIM LUGG SIDE RH NNB</t>
  </si>
  <si>
    <t>2300-1</t>
  </si>
  <si>
    <t>PS7I</t>
  </si>
  <si>
    <t>TRIM LUGG SIDE LH  STD W/O SPKR RDE</t>
  </si>
  <si>
    <t>TRIM LUGGAGE SIDE-LH YGN</t>
  </si>
  <si>
    <t>2500-1</t>
  </si>
  <si>
    <t>TRIM LUGGAGE SIDE-LH NNB</t>
  </si>
  <si>
    <t>48</t>
  </si>
  <si>
    <t>202</t>
  </si>
  <si>
    <t>82</t>
  </si>
  <si>
    <t>76</t>
  </si>
  <si>
    <t>92</t>
  </si>
  <si>
    <t>61</t>
  </si>
  <si>
    <t>53</t>
  </si>
  <si>
    <t>168</t>
  </si>
  <si>
    <t>124</t>
  </si>
  <si>
    <t>123</t>
  </si>
  <si>
    <t>206</t>
  </si>
  <si>
    <t>194</t>
  </si>
  <si>
    <t>329</t>
  </si>
  <si>
    <t>323</t>
  </si>
  <si>
    <t>380</t>
  </si>
  <si>
    <t>313</t>
  </si>
  <si>
    <t>PNL ASSY-CRASH PAD LWR D/SIDE RHD NNB</t>
  </si>
  <si>
    <t>POWER CUT COST</t>
  </si>
  <si>
    <t>2/2</t>
  </si>
  <si>
    <t>10</t>
  </si>
  <si>
    <t>MOULD ONLINE PM</t>
  </si>
  <si>
    <t>LH / RH CAVITY POLISH MARK ISSUE</t>
  </si>
  <si>
    <t xml:space="preserve">ROBOT ISSUE </t>
  </si>
  <si>
    <t xml:space="preserve">INJECTION TIME VARIATION ISSUE </t>
  </si>
  <si>
    <t xml:space="preserve">INJECTION ISSUE </t>
  </si>
  <si>
    <t>60</t>
  </si>
  <si>
    <t>50</t>
  </si>
  <si>
    <t>40</t>
  </si>
  <si>
    <t>37</t>
  </si>
  <si>
    <t xml:space="preserve">GS CALTAX MATERIAL RUNNING TIME ISSUE HAPPENED </t>
  </si>
  <si>
    <t xml:space="preserve">RUNNING TIME ISSUE HAPPENED </t>
  </si>
  <si>
    <t xml:space="preserve">MOULD START UP TIME ISSUE HAPPENED </t>
  </si>
  <si>
    <t xml:space="preserve">NEW MAN POWER RUNNING TIME ISSUE HAPPENED </t>
  </si>
  <si>
    <t>INJECTION TIME VARIATION ISSUE &amp; ROBOT DAMAGE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</si>
</sst>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b/>
      <sz val="10"/>
      <color rgb="FF000000"/>
      <name val="Malgun Gothic"/>
      <family val="2"/>
    </font>
    <font>
      <sz val="10"/>
      <color theme="1"/>
      <name val="Malgun Gothic"/>
      <family val="2"/>
    </font>
    <font>
      <b/>
      <sz val="8"/>
      <color theme="0"/>
      <name val="Malgun Gothic"/>
      <family val="2"/>
    </font>
    <font>
      <b/>
      <sz val="8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60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3" fillId="0" borderId="0" xfId="0" applyFont="1"/>
    <xf numFmtId="0" fontId="5" fillId="0" borderId="1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/>
    </xf>
    <xf numFmtId="0" fontId="6" fillId="0" borderId="15" xfId="0" applyFont="1" applyBorder="1" applyAlignment="1">
      <alignment horizontal="center" vertical="center" wrapText="1" readingOrder="1"/>
    </xf>
    <xf numFmtId="0" fontId="11" fillId="4" borderId="8" xfId="0" applyFont="1" applyFill="1" applyBorder="1"/>
    <xf numFmtId="0" fontId="3" fillId="4" borderId="8" xfId="0" applyFont="1" applyFill="1" applyBorder="1"/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4" fillId="0" borderId="1" xfId="0" applyFont="1" applyBorder="1" applyAlignment="1">
      <alignment horizontal="center" vertical="center" wrapText="1" readingOrder="1"/>
    </xf>
    <xf numFmtId="0" fontId="15" fillId="0" borderId="15" xfId="0" applyFont="1" applyBorder="1" applyAlignment="1">
      <alignment horizontal="center" vertical="center" wrapText="1"/>
    </xf>
    <xf numFmtId="0" fontId="16" fillId="0" borderId="0" xfId="0" applyFont="1"/>
    <xf numFmtId="0" fontId="18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left" vertical="center" wrapText="1" readingOrder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6" fillId="0" borderId="15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/>
    </xf>
    <xf numFmtId="49" fontId="15" fillId="0" borderId="16" xfId="0" applyNumberFormat="1" applyFont="1" applyBorder="1" applyAlignment="1">
      <alignment vertical="center" wrapText="1"/>
    </xf>
    <xf numFmtId="49" fontId="6" fillId="0" borderId="16" xfId="0" applyNumberFormat="1" applyFont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 readingOrder="1"/>
    </xf>
    <xf numFmtId="49" fontId="18" fillId="0" borderId="0" xfId="0" applyNumberFormat="1" applyFont="1"/>
    <xf numFmtId="49" fontId="7" fillId="0" borderId="15" xfId="0" applyNumberFormat="1" applyFont="1" applyBorder="1" applyAlignment="1">
      <alignment horizontal="center" vertical="center" wrapText="1" readingOrder="1"/>
    </xf>
    <xf numFmtId="49" fontId="7" fillId="0" borderId="16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15" fillId="0" borderId="15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49" fontId="1" fillId="0" borderId="15" xfId="0" applyNumberFormat="1" applyFont="1" applyBorder="1" applyAlignment="1">
      <alignment horizontal="center" vertical="center" wrapText="1" readingOrder="1"/>
    </xf>
    <xf numFmtId="49" fontId="1" fillId="0" borderId="33" xfId="0" applyNumberFormat="1" applyFont="1" applyBorder="1" applyAlignment="1">
      <alignment horizontal="center" vertical="center" wrapText="1" readingOrder="1"/>
    </xf>
    <xf numFmtId="49" fontId="2" fillId="0" borderId="34" xfId="0" applyNumberFormat="1" applyFont="1" applyBorder="1" applyAlignment="1">
      <alignment horizontal="center" vertical="center" wrapText="1" readingOrder="1"/>
    </xf>
    <xf numFmtId="49" fontId="2" fillId="0" borderId="33" xfId="0" applyNumberFormat="1" applyFont="1" applyBorder="1" applyAlignment="1">
      <alignment horizontal="center" vertical="center" wrapText="1" readingOrder="1"/>
    </xf>
    <xf numFmtId="0" fontId="19" fillId="4" borderId="8" xfId="0" applyFont="1" applyFill="1" applyBorder="1"/>
    <xf numFmtId="0" fontId="6" fillId="0" borderId="18" xfId="0" applyNumberFormat="1" applyFont="1" applyBorder="1" applyAlignment="1">
      <alignment horizontal="center" vertical="center" wrapText="1" readingOrder="1"/>
    </xf>
    <xf numFmtId="49" fontId="1" fillId="0" borderId="1" xfId="0" quotePrefix="1" applyNumberFormat="1" applyFont="1" applyBorder="1" applyAlignment="1">
      <alignment horizontal="center" vertical="center" wrapText="1" readingOrder="1"/>
    </xf>
    <xf numFmtId="49" fontId="20" fillId="0" borderId="1" xfId="0" applyNumberFormat="1" applyFont="1" applyBorder="1" applyAlignment="1">
      <alignment horizontal="center" vertical="center" wrapText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 wrapText="1"/>
    </xf>
    <xf numFmtId="0" fontId="3" fillId="4" borderId="8" xfId="0" applyNumberFormat="1" applyFont="1" applyFill="1" applyBorder="1"/>
    <xf numFmtId="16" fontId="3" fillId="0" borderId="0" xfId="0" quotePrefix="1" applyNumberFormat="1" applyFont="1"/>
    <xf numFmtId="49" fontId="15" fillId="0" borderId="16" xfId="0" applyNumberFormat="1" applyFont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0" fontId="1" fillId="3" borderId="1" xfId="0" applyNumberFormat="1" applyFont="1" applyFill="1" applyBorder="1" applyAlignment="1">
      <alignment horizontal="center" vertical="center" wrapText="1" readingOrder="1"/>
    </xf>
    <xf numFmtId="49" fontId="3" fillId="4" borderId="8" xfId="0" applyNumberFormat="1" applyFont="1" applyFill="1" applyBorder="1"/>
    <xf numFmtId="49" fontId="3" fillId="0" borderId="0" xfId="0" applyNumberFormat="1" applyFont="1"/>
    <xf numFmtId="0" fontId="17" fillId="2" borderId="15" xfId="0" applyNumberFormat="1" applyFont="1" applyFill="1" applyBorder="1" applyAlignment="1">
      <alignment horizontal="center" vertical="center" wrapText="1" readingOrder="1"/>
    </xf>
    <xf numFmtId="0" fontId="17" fillId="2" borderId="18" xfId="0" applyNumberFormat="1" applyFont="1" applyFill="1" applyBorder="1" applyAlignment="1">
      <alignment horizontal="center" vertical="center" wrapText="1" readingOrder="1"/>
    </xf>
    <xf numFmtId="0" fontId="6" fillId="3" borderId="18" xfId="0" applyNumberFormat="1" applyFont="1" applyFill="1" applyBorder="1" applyAlignment="1">
      <alignment horizontal="center" vertical="center" wrapText="1" readingOrder="1"/>
    </xf>
    <xf numFmtId="0" fontId="6" fillId="3" borderId="15" xfId="0" applyNumberFormat="1" applyFont="1" applyFill="1" applyBorder="1" applyAlignment="1">
      <alignment horizontal="center" vertical="center" wrapText="1" readingOrder="1"/>
    </xf>
    <xf numFmtId="0" fontId="6" fillId="6" borderId="18" xfId="0" applyNumberFormat="1" applyFont="1" applyFill="1" applyBorder="1" applyAlignment="1">
      <alignment horizontal="center" vertical="center" wrapText="1" readingOrder="1"/>
    </xf>
    <xf numFmtId="0" fontId="6" fillId="6" borderId="15" xfId="0" applyNumberFormat="1" applyFont="1" applyFill="1" applyBorder="1" applyAlignment="1">
      <alignment horizontal="center" vertical="center" wrapText="1" readingOrder="1"/>
    </xf>
    <xf numFmtId="0" fontId="11" fillId="4" borderId="8" xfId="0" applyNumberFormat="1" applyFont="1" applyFill="1" applyBorder="1"/>
    <xf numFmtId="0" fontId="18" fillId="0" borderId="0" xfId="0" applyNumberFormat="1" applyFont="1"/>
    <xf numFmtId="0" fontId="7" fillId="0" borderId="16" xfId="0" applyNumberFormat="1" applyFont="1" applyBorder="1" applyAlignment="1">
      <alignment horizontal="center" vertical="center" wrapText="1" readingOrder="1"/>
    </xf>
    <xf numFmtId="0" fontId="7" fillId="0" borderId="21" xfId="0" applyNumberFormat="1" applyFont="1" applyBorder="1" applyAlignment="1">
      <alignment horizontal="center" vertical="center" wrapText="1" readingOrder="1"/>
    </xf>
    <xf numFmtId="0" fontId="7" fillId="0" borderId="17" xfId="0" applyNumberFormat="1" applyFont="1" applyBorder="1" applyAlignment="1">
      <alignment horizontal="center" vertical="center" wrapText="1" readingOrder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9" fillId="0" borderId="11" xfId="0" applyNumberFormat="1" applyFont="1" applyBorder="1" applyAlignment="1">
      <alignment horizontal="center"/>
    </xf>
    <xf numFmtId="0" fontId="14" fillId="0" borderId="2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17" fillId="2" borderId="18" xfId="0" applyFont="1" applyFill="1" applyBorder="1" applyAlignment="1">
      <alignment horizontal="center" vertical="center" wrapText="1" readingOrder="1"/>
    </xf>
    <xf numFmtId="0" fontId="17" fillId="2" borderId="19" xfId="0" applyFont="1" applyFill="1" applyBorder="1" applyAlignment="1">
      <alignment horizontal="center" vertical="center" wrapText="1" readingOrder="1"/>
    </xf>
    <xf numFmtId="0" fontId="17" fillId="2" borderId="20" xfId="0" applyFont="1" applyFill="1" applyBorder="1" applyAlignment="1">
      <alignment horizontal="center" vertical="center" wrapText="1" readingOrder="1"/>
    </xf>
    <xf numFmtId="0" fontId="6" fillId="3" borderId="18" xfId="0" applyNumberFormat="1" applyFont="1" applyFill="1" applyBorder="1" applyAlignment="1">
      <alignment horizontal="center" vertical="center" wrapText="1" readingOrder="1"/>
    </xf>
    <xf numFmtId="0" fontId="6" fillId="3" borderId="19" xfId="0" applyNumberFormat="1" applyFont="1" applyFill="1" applyBorder="1" applyAlignment="1">
      <alignment horizontal="center" vertical="center" wrapText="1" readingOrder="1"/>
    </xf>
    <xf numFmtId="0" fontId="6" fillId="3" borderId="20" xfId="0" applyNumberFormat="1" applyFont="1" applyFill="1" applyBorder="1" applyAlignment="1">
      <alignment horizontal="center" vertical="center" wrapText="1" readingOrder="1"/>
    </xf>
    <xf numFmtId="0" fontId="6" fillId="0" borderId="16" xfId="0" applyFont="1" applyBorder="1" applyAlignment="1">
      <alignment horizontal="center" vertical="center" wrapText="1" readingOrder="1"/>
    </xf>
    <xf numFmtId="0" fontId="6" fillId="0" borderId="21" xfId="0" applyFont="1" applyBorder="1" applyAlignment="1">
      <alignment horizontal="center" vertical="center" wrapText="1" readingOrder="1"/>
    </xf>
    <xf numFmtId="0" fontId="6" fillId="0" borderId="17" xfId="0" applyFont="1" applyBorder="1" applyAlignment="1">
      <alignment horizontal="center" vertical="center" wrapText="1" readingOrder="1"/>
    </xf>
    <xf numFmtId="0" fontId="17" fillId="2" borderId="16" xfId="0" applyFont="1" applyFill="1" applyBorder="1" applyAlignment="1">
      <alignment horizontal="center" vertical="center" wrapText="1" readingOrder="1"/>
    </xf>
    <xf numFmtId="0" fontId="17" fillId="2" borderId="17" xfId="0" applyFont="1" applyFill="1" applyBorder="1" applyAlignment="1">
      <alignment horizontal="center" vertical="center" wrapText="1" readingOrder="1"/>
    </xf>
    <xf numFmtId="0" fontId="17" fillId="2" borderId="18" xfId="0" applyNumberFormat="1" applyFont="1" applyFill="1" applyBorder="1" applyAlignment="1">
      <alignment horizontal="center" vertical="center" wrapText="1" readingOrder="1"/>
    </xf>
    <xf numFmtId="0" fontId="17" fillId="2" borderId="19" xfId="0" applyNumberFormat="1" applyFont="1" applyFill="1" applyBorder="1" applyAlignment="1">
      <alignment horizontal="center" vertical="center" wrapText="1" readingOrder="1"/>
    </xf>
    <xf numFmtId="0" fontId="17" fillId="2" borderId="20" xfId="0" applyNumberFormat="1" applyFont="1" applyFill="1" applyBorder="1" applyAlignment="1">
      <alignment horizontal="center" vertical="center" wrapText="1" readingOrder="1"/>
    </xf>
    <xf numFmtId="0" fontId="6" fillId="2" borderId="16" xfId="0" applyFont="1" applyFill="1" applyBorder="1" applyAlignment="1">
      <alignment horizontal="center" vertical="center" wrapText="1" readingOrder="1"/>
    </xf>
    <xf numFmtId="0" fontId="6" fillId="2" borderId="17" xfId="0" applyFont="1" applyFill="1" applyBorder="1" applyAlignment="1">
      <alignment horizontal="center" vertical="center" wrapText="1" readingOrder="1"/>
    </xf>
    <xf numFmtId="0" fontId="6" fillId="2" borderId="16" xfId="0" applyNumberFormat="1" applyFont="1" applyFill="1" applyBorder="1" applyAlignment="1">
      <alignment horizontal="center" vertical="center" wrapText="1" readingOrder="1"/>
    </xf>
    <xf numFmtId="0" fontId="6" fillId="2" borderId="17" xfId="0" applyNumberFormat="1" applyFont="1" applyFill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horizontal="center" vertical="center" wrapText="1"/>
    </xf>
    <xf numFmtId="49" fontId="15" fillId="0" borderId="21" xfId="0" applyNumberFormat="1" applyFont="1" applyBorder="1" applyAlignment="1">
      <alignment horizontal="center" vertical="center" wrapText="1"/>
    </xf>
    <xf numFmtId="49" fontId="15" fillId="0" borderId="17" xfId="0" applyNumberFormat="1" applyFont="1" applyBorder="1" applyAlignment="1">
      <alignment horizontal="center" vertical="center" wrapText="1"/>
    </xf>
    <xf numFmtId="0" fontId="7" fillId="0" borderId="16" xfId="0" applyNumberFormat="1" applyFont="1" applyBorder="1" applyAlignment="1">
      <alignment horizontal="center" vertical="center" wrapText="1" readingOrder="1"/>
    </xf>
    <xf numFmtId="0" fontId="7" fillId="0" borderId="21" xfId="0" applyNumberFormat="1" applyFont="1" applyBorder="1" applyAlignment="1">
      <alignment horizontal="center" vertical="center" wrapText="1" readingOrder="1"/>
    </xf>
    <xf numFmtId="0" fontId="7" fillId="0" borderId="17" xfId="0" applyNumberFormat="1" applyFont="1" applyBorder="1" applyAlignment="1">
      <alignment horizontal="center" vertical="center" wrapText="1" readingOrder="1"/>
    </xf>
    <xf numFmtId="0" fontId="17" fillId="2" borderId="22" xfId="0" applyFont="1" applyFill="1" applyBorder="1" applyAlignment="1">
      <alignment horizontal="center" vertical="center" wrapText="1" readingOrder="1"/>
    </xf>
    <xf numFmtId="0" fontId="17" fillId="2" borderId="23" xfId="0" applyFont="1" applyFill="1" applyBorder="1" applyAlignment="1">
      <alignment horizontal="center" vertical="center" wrapText="1" readingOrder="1"/>
    </xf>
    <xf numFmtId="0" fontId="17" fillId="2" borderId="24" xfId="0" applyFont="1" applyFill="1" applyBorder="1" applyAlignment="1">
      <alignment horizontal="center" vertical="center" wrapText="1" readingOrder="1"/>
    </xf>
    <xf numFmtId="0" fontId="17" fillId="2" borderId="31" xfId="0" applyFont="1" applyFill="1" applyBorder="1" applyAlignment="1">
      <alignment horizontal="center" vertical="center" wrapText="1" readingOrder="1"/>
    </xf>
    <xf numFmtId="0" fontId="17" fillId="2" borderId="0" xfId="0" applyFont="1" applyFill="1" applyAlignment="1">
      <alignment horizontal="center" vertical="center" wrapText="1" readingOrder="1"/>
    </xf>
    <xf numFmtId="0" fontId="17" fillId="2" borderId="32" xfId="0" applyFont="1" applyFill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7" fillId="0" borderId="15" xfId="0" applyNumberFormat="1" applyFont="1" applyBorder="1" applyAlignment="1">
      <alignment horizontal="center" vertical="center" wrapText="1" readingOrder="1"/>
    </xf>
    <xf numFmtId="49" fontId="1" fillId="3" borderId="3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49" fontId="4" fillId="3" borderId="1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 readingOrder="1"/>
    </xf>
    <xf numFmtId="49" fontId="1" fillId="3" borderId="5" xfId="0" applyNumberFormat="1" applyFont="1" applyFill="1" applyBorder="1" applyAlignment="1">
      <alignment horizontal="center" vertical="center" wrapText="1" readingOrder="1"/>
    </xf>
    <xf numFmtId="49" fontId="1" fillId="3" borderId="3" xfId="0" applyNumberFormat="1" applyFont="1" applyFill="1" applyBorder="1" applyAlignment="1">
      <alignment horizontal="center" vertical="center" wrapText="1" readingOrder="1"/>
    </xf>
    <xf numFmtId="49" fontId="6" fillId="3" borderId="18" xfId="0" applyNumberFormat="1" applyFont="1" applyFill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6" fillId="3" borderId="22" xfId="0" applyNumberFormat="1" applyFont="1" applyFill="1" applyBorder="1" applyAlignment="1">
      <alignment horizontal="center" vertical="center" wrapText="1" readingOrder="1"/>
    </xf>
    <xf numFmtId="49" fontId="6" fillId="3" borderId="16" xfId="0" applyNumberFormat="1" applyFont="1" applyFill="1" applyBorder="1" applyAlignment="1">
      <alignment horizontal="center" vertical="center" wrapText="1" readingOrder="1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</xdr:row>
          <xdr:rowOff>47625</xdr:rowOff>
        </xdr:from>
        <xdr:to>
          <xdr:col>27</xdr:col>
          <xdr:colOff>619125</xdr:colOff>
          <xdr:row>5</xdr:row>
          <xdr:rowOff>66675</xdr:rowOff>
        </xdr:to>
        <xdr:grpSp>
          <xdr:nvGrpSpPr>
            <xdr:cNvPr id="3" name="Group 2"/>
            <xdr:cNvGrpSpPr/>
          </xdr:nvGrpSpPr>
          <xdr:grpSpPr>
            <a:xfrm>
              <a:off x="16811625" y="333375"/>
              <a:ext cx="1381125" cy="762000"/>
              <a:chOff x="16792575" y="76200"/>
              <a:chExt cx="1064558" cy="675154"/>
            </a:xfrm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6792575" y="76200"/>
                <a:ext cx="1064558" cy="2723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6802100" y="457200"/>
                <a:ext cx="1055033" cy="2941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2419350</xdr:colOff>
      <xdr:row>3</xdr:row>
      <xdr:rowOff>8551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3382065" cy="53578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UNDER CUT			3) WELD DAMAGE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WELD LINE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STREAKS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DAMAGE	8) AIR BUBBLE		9) SHINING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10)GAS MARK ISSUE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2562226</xdr:colOff>
          <xdr:row>0</xdr:row>
          <xdr:rowOff>85725</xdr:rowOff>
        </xdr:from>
        <xdr:to>
          <xdr:col>21</xdr:col>
          <xdr:colOff>0</xdr:colOff>
          <xdr:row>3</xdr:row>
          <xdr:rowOff>0</xdr:rowOff>
        </xdr:to>
        <xdr:grpSp>
          <xdr:nvGrpSpPr>
            <xdr:cNvPr id="3" name="Group 2"/>
            <xdr:cNvGrpSpPr/>
          </xdr:nvGrpSpPr>
          <xdr:grpSpPr>
            <a:xfrm>
              <a:off x="13106401" y="85725"/>
              <a:ext cx="1095374" cy="542925"/>
              <a:chOff x="14300369" y="209550"/>
              <a:chExt cx="1822114" cy="914400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4316075" y="209550"/>
                <a:ext cx="1790700" cy="3714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4300369" y="733425"/>
                <a:ext cx="1822114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600074</xdr:colOff>
      <xdr:row>1</xdr:row>
      <xdr:rowOff>709612</xdr:rowOff>
    </xdr:from>
    <xdr:to>
      <xdr:col>12</xdr:col>
      <xdr:colOff>133350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6543674" y="890587"/>
          <a:ext cx="5791201" cy="3109913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00"/>
  <sheetViews>
    <sheetView topLeftCell="Q1" zoomScaleNormal="100" workbookViewId="0">
      <selection activeCell="AC10" sqref="AC10"/>
    </sheetView>
  </sheetViews>
  <sheetFormatPr defaultColWidth="39.125" defaultRowHeight="20.100000000000001" customHeight="1"/>
  <cols>
    <col min="1" max="1" width="4.25" style="5" bestFit="1" customWidth="1"/>
    <col min="2" max="2" width="7.375" style="3" bestFit="1" customWidth="1"/>
    <col min="3" max="3" width="8" style="3" bestFit="1" customWidth="1"/>
    <col min="4" max="4" width="36" style="3" bestFit="1" customWidth="1"/>
    <col min="5" max="7" width="6.75" style="50" customWidth="1"/>
    <col min="8" max="8" width="7.125" style="63" bestFit="1" customWidth="1"/>
    <col min="9" max="9" width="7.75" style="63" customWidth="1"/>
    <col min="10" max="15" width="6.75" style="63" customWidth="1"/>
    <col min="16" max="16" width="8" style="63" customWidth="1"/>
    <col min="17" max="17" width="6.75" style="63" customWidth="1"/>
    <col min="18" max="18" width="7.625" style="3" bestFit="1" customWidth="1"/>
    <col min="19" max="19" width="18.25" style="50" bestFit="1" customWidth="1"/>
    <col min="20" max="23" width="6.75" style="50" customWidth="1"/>
    <col min="24" max="26" width="6.75" style="52" customWidth="1"/>
    <col min="27" max="33" width="11.5" style="50" customWidth="1"/>
    <col min="34" max="165" width="11.5" style="3" customWidth="1"/>
    <col min="166" max="16384" width="39.125" style="3"/>
  </cols>
  <sheetData>
    <row r="1" spans="1:28" ht="11.25">
      <c r="H1" s="3"/>
      <c r="I1" s="3"/>
      <c r="J1" s="3"/>
      <c r="K1" s="3"/>
      <c r="L1" s="3"/>
      <c r="M1" s="3"/>
      <c r="N1" s="3"/>
      <c r="O1" s="3"/>
      <c r="P1" s="3"/>
      <c r="Q1" s="3"/>
    </row>
    <row r="2" spans="1:28" ht="11.25">
      <c r="H2" s="3"/>
      <c r="I2" s="3"/>
      <c r="J2" s="3"/>
      <c r="K2" s="3"/>
      <c r="L2" s="3"/>
      <c r="M2" s="3"/>
      <c r="N2" s="3"/>
      <c r="O2" s="3"/>
      <c r="P2" s="3"/>
      <c r="Q2" s="3"/>
    </row>
    <row r="3" spans="1:28" ht="20.100000000000001" customHeight="1">
      <c r="H3" s="3"/>
      <c r="I3" s="3"/>
      <c r="J3" s="3"/>
      <c r="K3" s="3"/>
      <c r="L3" s="3"/>
      <c r="M3" s="3"/>
      <c r="N3" s="3"/>
      <c r="O3" s="3"/>
      <c r="P3" s="3"/>
      <c r="Q3" s="3"/>
    </row>
    <row r="4" spans="1:28" ht="20.100000000000001" customHeight="1">
      <c r="H4" s="3"/>
      <c r="I4" s="3"/>
      <c r="J4" s="3"/>
      <c r="K4" s="3"/>
      <c r="L4" s="3"/>
      <c r="M4" s="3"/>
      <c r="N4" s="3"/>
      <c r="O4" s="3"/>
      <c r="P4" s="3"/>
      <c r="Q4" s="3"/>
      <c r="U4" s="110" t="s">
        <v>25</v>
      </c>
      <c r="V4" s="110"/>
      <c r="W4" s="110"/>
      <c r="X4" s="110" t="s">
        <v>124</v>
      </c>
      <c r="Y4" s="110"/>
      <c r="Z4" s="110"/>
    </row>
    <row r="5" spans="1:28" ht="20.100000000000001" customHeight="1">
      <c r="A5" s="89" t="s">
        <v>0</v>
      </c>
      <c r="B5" s="40" t="s">
        <v>1</v>
      </c>
      <c r="C5" s="89" t="s">
        <v>2</v>
      </c>
      <c r="D5" s="89" t="s">
        <v>3</v>
      </c>
      <c r="E5" s="97" t="s">
        <v>4</v>
      </c>
      <c r="F5" s="98"/>
      <c r="G5" s="99"/>
      <c r="H5" s="89" t="s">
        <v>5</v>
      </c>
      <c r="I5" s="89" t="s">
        <v>6</v>
      </c>
      <c r="J5" s="89" t="s">
        <v>7</v>
      </c>
      <c r="K5" s="89" t="s">
        <v>8</v>
      </c>
      <c r="L5" s="89" t="s">
        <v>9</v>
      </c>
      <c r="M5" s="89" t="s">
        <v>10</v>
      </c>
      <c r="N5" s="89" t="s">
        <v>11</v>
      </c>
      <c r="O5" s="89" t="s">
        <v>12</v>
      </c>
      <c r="P5" s="89" t="s">
        <v>13</v>
      </c>
      <c r="Q5" s="89" t="s">
        <v>14</v>
      </c>
      <c r="R5" s="89" t="s">
        <v>15</v>
      </c>
      <c r="S5" s="104" t="s">
        <v>16</v>
      </c>
      <c r="T5" s="104" t="s">
        <v>24</v>
      </c>
      <c r="U5" s="104" t="s">
        <v>17</v>
      </c>
      <c r="V5" s="104" t="s">
        <v>18</v>
      </c>
      <c r="W5" s="104" t="s">
        <v>19</v>
      </c>
      <c r="X5" s="114" t="s">
        <v>17</v>
      </c>
      <c r="Y5" s="114" t="s">
        <v>18</v>
      </c>
      <c r="Z5" s="114" t="s">
        <v>19</v>
      </c>
    </row>
    <row r="6" spans="1:28" ht="20.100000000000001" customHeight="1">
      <c r="A6" s="90"/>
      <c r="B6" s="41"/>
      <c r="C6" s="90"/>
      <c r="D6" s="90"/>
      <c r="E6" s="58" t="s">
        <v>17</v>
      </c>
      <c r="F6" s="59" t="s">
        <v>18</v>
      </c>
      <c r="G6" s="59" t="s">
        <v>19</v>
      </c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105"/>
      <c r="T6" s="105"/>
      <c r="U6" s="105"/>
      <c r="V6" s="105"/>
      <c r="W6" s="105"/>
      <c r="X6" s="115"/>
      <c r="Y6" s="115"/>
      <c r="Z6" s="115"/>
    </row>
    <row r="7" spans="1:28" ht="20.100000000000001" customHeight="1">
      <c r="A7" s="78" t="s">
        <v>20</v>
      </c>
      <c r="B7" s="79"/>
      <c r="C7" s="79"/>
      <c r="D7" s="80"/>
      <c r="E7" s="94">
        <f>EvalPower(E8:G8)</f>
        <v>153</v>
      </c>
      <c r="F7" s="95"/>
      <c r="G7" s="96"/>
      <c r="H7" s="87">
        <f t="shared" ref="H7:Q7" si="0">EvalMath(H11:H99)</f>
        <v>31</v>
      </c>
      <c r="I7" s="87">
        <f t="shared" si="0"/>
        <v>35</v>
      </c>
      <c r="J7" s="87">
        <f t="shared" si="0"/>
        <v>32</v>
      </c>
      <c r="K7" s="87">
        <f t="shared" si="0"/>
        <v>10</v>
      </c>
      <c r="L7" s="87">
        <f t="shared" si="0"/>
        <v>8</v>
      </c>
      <c r="M7" s="87">
        <f t="shared" si="0"/>
        <v>14</v>
      </c>
      <c r="N7" s="87">
        <f t="shared" si="0"/>
        <v>19</v>
      </c>
      <c r="O7" s="87" t="str">
        <f t="shared" si="0"/>
        <v>-</v>
      </c>
      <c r="P7" s="87">
        <f t="shared" si="0"/>
        <v>115</v>
      </c>
      <c r="Q7" s="87">
        <f t="shared" si="0"/>
        <v>4</v>
      </c>
      <c r="R7" s="102">
        <f>EvalPower(R11:R99)</f>
        <v>42576</v>
      </c>
      <c r="S7" s="108"/>
      <c r="T7" s="106"/>
      <c r="U7" s="111">
        <f t="shared" ref="U7:V7" si="1">EvalPower(U11:U99)</f>
        <v>38</v>
      </c>
      <c r="V7" s="111">
        <f t="shared" si="1"/>
        <v>77</v>
      </c>
      <c r="W7" s="111" t="str">
        <f>EvalPower(W11:W99)</f>
        <v>0</v>
      </c>
      <c r="X7" s="116">
        <f>EvalPower(X11:X100)</f>
        <v>5976</v>
      </c>
      <c r="Y7" s="116">
        <f t="shared" ref="Y7:Z7" si="2">EvalPower(Y11:Y100)</f>
        <v>10350</v>
      </c>
      <c r="Z7" s="116" t="str">
        <f t="shared" si="2"/>
        <v>0</v>
      </c>
    </row>
    <row r="8" spans="1:28" ht="20.100000000000001" customHeight="1">
      <c r="A8" s="91"/>
      <c r="B8" s="92"/>
      <c r="C8" s="92"/>
      <c r="D8" s="93"/>
      <c r="E8" s="38">
        <f>EvalPower(E11:E99)-E10</f>
        <v>36</v>
      </c>
      <c r="F8" s="38">
        <f>EvalPower(F11:F99)-F10</f>
        <v>63</v>
      </c>
      <c r="G8" s="38">
        <f>EvalPower(G11:G99)-G10</f>
        <v>54</v>
      </c>
      <c r="H8" s="88"/>
      <c r="I8" s="88"/>
      <c r="J8" s="88"/>
      <c r="K8" s="88"/>
      <c r="L8" s="88"/>
      <c r="M8" s="88"/>
      <c r="N8" s="88"/>
      <c r="O8" s="88"/>
      <c r="P8" s="88"/>
      <c r="Q8" s="88"/>
      <c r="R8" s="103"/>
      <c r="S8" s="109"/>
      <c r="T8" s="107"/>
      <c r="U8" s="107"/>
      <c r="V8" s="107"/>
      <c r="W8" s="107"/>
      <c r="X8" s="113"/>
      <c r="Y8" s="113"/>
      <c r="Z8" s="113"/>
    </row>
    <row r="9" spans="1:28" ht="20.100000000000001" customHeight="1">
      <c r="A9" s="78" t="s">
        <v>21</v>
      </c>
      <c r="B9" s="79"/>
      <c r="C9" s="79"/>
      <c r="D9" s="80"/>
      <c r="E9" s="84">
        <f>EvalPower(E10:G10)</f>
        <v>115</v>
      </c>
      <c r="F9" s="85"/>
      <c r="G9" s="86"/>
      <c r="H9" s="76" t="s">
        <v>36</v>
      </c>
      <c r="I9" s="76"/>
      <c r="J9" s="76"/>
      <c r="K9" s="76"/>
      <c r="L9" s="76"/>
      <c r="M9" s="76"/>
      <c r="N9" s="76"/>
      <c r="O9" s="76"/>
      <c r="P9" s="76"/>
      <c r="Q9" s="76"/>
      <c r="R9" s="100">
        <f>EvalPower(X7:Z8)</f>
        <v>16326</v>
      </c>
      <c r="S9" s="108"/>
      <c r="T9" s="108"/>
      <c r="U9" s="106"/>
      <c r="V9" s="106"/>
      <c r="W9" s="106"/>
      <c r="X9" s="112"/>
      <c r="Y9" s="112"/>
      <c r="Z9" s="112"/>
    </row>
    <row r="10" spans="1:28" ht="19.5" customHeight="1">
      <c r="A10" s="81"/>
      <c r="B10" s="82"/>
      <c r="C10" s="82"/>
      <c r="D10" s="83"/>
      <c r="E10" s="60">
        <f>U7</f>
        <v>38</v>
      </c>
      <c r="F10" s="60">
        <f>V7</f>
        <v>77</v>
      </c>
      <c r="G10" s="60" t="str">
        <f>W7</f>
        <v>0</v>
      </c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101"/>
      <c r="S10" s="109"/>
      <c r="T10" s="109"/>
      <c r="U10" s="107"/>
      <c r="V10" s="107"/>
      <c r="W10" s="107"/>
      <c r="X10" s="113"/>
      <c r="Y10" s="113"/>
      <c r="Z10" s="113"/>
      <c r="AB10" s="56"/>
    </row>
    <row r="11" spans="1:28" ht="20.100000000000001" customHeight="1">
      <c r="A11" s="23">
        <v>1</v>
      </c>
      <c r="B11" s="44" t="s">
        <v>39</v>
      </c>
      <c r="C11" s="42" t="s">
        <v>40</v>
      </c>
      <c r="D11" s="42" t="s">
        <v>38</v>
      </c>
      <c r="E11" s="150" t="s">
        <v>32</v>
      </c>
      <c r="F11" s="151" t="s">
        <v>42</v>
      </c>
      <c r="G11" s="151" t="s">
        <v>47</v>
      </c>
      <c r="H11" s="23"/>
      <c r="I11" s="23"/>
      <c r="J11" s="23"/>
      <c r="K11" s="23"/>
      <c r="L11" s="23"/>
      <c r="M11" s="23"/>
      <c r="N11" s="23"/>
      <c r="O11" s="23"/>
      <c r="P11" s="23" t="s">
        <v>44</v>
      </c>
      <c r="Q11" s="25" t="s">
        <v>41</v>
      </c>
      <c r="R11" s="17">
        <f>(EvalPower(E11:G11)*T11)</f>
        <v>440</v>
      </c>
      <c r="S11" s="23"/>
      <c r="T11" s="28" t="s">
        <v>90</v>
      </c>
      <c r="U11" s="28" t="s">
        <v>43</v>
      </c>
      <c r="V11" s="28" t="s">
        <v>42</v>
      </c>
      <c r="W11" s="28"/>
      <c r="X11" s="51">
        <f>U11*T11</f>
        <v>80</v>
      </c>
      <c r="Y11" s="51">
        <f>V11*T11</f>
        <v>280</v>
      </c>
      <c r="Z11" s="51">
        <f>W11*T11</f>
        <v>0</v>
      </c>
    </row>
    <row r="12" spans="1:28" ht="20.100000000000001" customHeight="1">
      <c r="A12" s="23">
        <v>2</v>
      </c>
      <c r="B12" s="44" t="s">
        <v>39</v>
      </c>
      <c r="C12" s="42" t="s">
        <v>46</v>
      </c>
      <c r="D12" s="42" t="s">
        <v>45</v>
      </c>
      <c r="E12" s="150" t="s">
        <v>47</v>
      </c>
      <c r="F12" s="151" t="s">
        <v>43</v>
      </c>
      <c r="G12" s="151" t="s">
        <v>47</v>
      </c>
      <c r="H12" s="23"/>
      <c r="I12" s="23"/>
      <c r="J12" s="23" t="s">
        <v>41</v>
      </c>
      <c r="K12" s="23"/>
      <c r="L12" s="23"/>
      <c r="M12" s="23"/>
      <c r="N12" s="23"/>
      <c r="O12" s="23"/>
      <c r="P12" s="23"/>
      <c r="Q12" s="25"/>
      <c r="R12" s="17">
        <f t="shared" ref="R12:R40" si="3">(EvalPower(E12:G12)*T12)</f>
        <v>80</v>
      </c>
      <c r="S12" s="23"/>
      <c r="T12" s="28" t="s">
        <v>90</v>
      </c>
      <c r="U12" s="28"/>
      <c r="V12" s="28"/>
      <c r="W12" s="28"/>
      <c r="X12" s="51">
        <f t="shared" ref="X12:X40" si="4">U12*T12</f>
        <v>0</v>
      </c>
      <c r="Y12" s="51">
        <f t="shared" ref="Y12:Y40" si="5">V12*T12</f>
        <v>0</v>
      </c>
      <c r="Z12" s="51">
        <f t="shared" ref="Z12:Z40" si="6">W12*T12</f>
        <v>0</v>
      </c>
    </row>
    <row r="13" spans="1:28" ht="20.100000000000001" customHeight="1">
      <c r="A13" s="23">
        <v>3</v>
      </c>
      <c r="B13" s="27" t="s">
        <v>50</v>
      </c>
      <c r="C13" s="43" t="s">
        <v>51</v>
      </c>
      <c r="D13" s="43" t="s">
        <v>48</v>
      </c>
      <c r="E13" s="151" t="s">
        <v>47</v>
      </c>
      <c r="F13" s="151" t="s">
        <v>43</v>
      </c>
      <c r="G13" s="151" t="s">
        <v>47</v>
      </c>
      <c r="H13" s="48"/>
      <c r="I13" s="48" t="s">
        <v>41</v>
      </c>
      <c r="J13" s="23"/>
      <c r="K13" s="23"/>
      <c r="L13" s="23"/>
      <c r="M13" s="23"/>
      <c r="N13" s="23"/>
      <c r="O13" s="23"/>
      <c r="P13" s="23"/>
      <c r="Q13" s="25"/>
      <c r="R13" s="17">
        <f t="shared" si="3"/>
        <v>192</v>
      </c>
      <c r="S13" s="23"/>
      <c r="T13" s="28" t="s">
        <v>107</v>
      </c>
      <c r="U13" s="28"/>
      <c r="V13" s="28"/>
      <c r="W13" s="28"/>
      <c r="X13" s="51">
        <f t="shared" si="4"/>
        <v>0</v>
      </c>
      <c r="Y13" s="51">
        <f t="shared" si="5"/>
        <v>0</v>
      </c>
      <c r="Z13" s="51">
        <f t="shared" si="6"/>
        <v>0</v>
      </c>
    </row>
    <row r="14" spans="1:28" ht="20.100000000000001" customHeight="1">
      <c r="A14" s="23">
        <v>4</v>
      </c>
      <c r="B14" s="27" t="s">
        <v>53</v>
      </c>
      <c r="C14" s="23" t="s">
        <v>46</v>
      </c>
      <c r="D14" s="23" t="s">
        <v>52</v>
      </c>
      <c r="E14" s="151" t="s">
        <v>49</v>
      </c>
      <c r="F14" s="151" t="s">
        <v>47</v>
      </c>
      <c r="G14" s="151" t="s">
        <v>43</v>
      </c>
      <c r="H14" s="23" t="s">
        <v>43</v>
      </c>
      <c r="I14" s="23"/>
      <c r="J14" s="23"/>
      <c r="K14" s="23"/>
      <c r="L14" s="23"/>
      <c r="M14" s="23"/>
      <c r="N14" s="23"/>
      <c r="O14" s="23"/>
      <c r="P14" s="23" t="s">
        <v>49</v>
      </c>
      <c r="Q14" s="25"/>
      <c r="R14" s="17">
        <f t="shared" si="3"/>
        <v>1414</v>
      </c>
      <c r="S14" s="23"/>
      <c r="T14" s="28" t="s">
        <v>108</v>
      </c>
      <c r="U14" s="28" t="s">
        <v>49</v>
      </c>
      <c r="V14" s="28"/>
      <c r="W14" s="28"/>
      <c r="X14" s="51">
        <f t="shared" si="4"/>
        <v>606</v>
      </c>
      <c r="Y14" s="51">
        <f t="shared" si="5"/>
        <v>0</v>
      </c>
      <c r="Z14" s="51">
        <f t="shared" si="6"/>
        <v>0</v>
      </c>
    </row>
    <row r="15" spans="1:28" ht="20.100000000000001" customHeight="1">
      <c r="A15" s="23">
        <v>5</v>
      </c>
      <c r="B15" s="27" t="s">
        <v>55</v>
      </c>
      <c r="C15" s="23" t="s">
        <v>46</v>
      </c>
      <c r="D15" s="23" t="s">
        <v>54</v>
      </c>
      <c r="E15" s="151" t="s">
        <v>33</v>
      </c>
      <c r="F15" s="151" t="s">
        <v>47</v>
      </c>
      <c r="G15" s="151" t="s">
        <v>47</v>
      </c>
      <c r="H15" s="23"/>
      <c r="I15" s="23"/>
      <c r="J15" s="23"/>
      <c r="K15" s="23"/>
      <c r="L15" s="23"/>
      <c r="M15" s="23"/>
      <c r="N15" s="23"/>
      <c r="O15" s="23"/>
      <c r="P15" s="23" t="s">
        <v>33</v>
      </c>
      <c r="Q15" s="25"/>
      <c r="R15" s="17">
        <f t="shared" si="3"/>
        <v>164</v>
      </c>
      <c r="S15" s="23"/>
      <c r="T15" s="28" t="s">
        <v>109</v>
      </c>
      <c r="U15" s="28" t="s">
        <v>33</v>
      </c>
      <c r="V15" s="28"/>
      <c r="W15" s="28"/>
      <c r="X15" s="51">
        <f t="shared" si="4"/>
        <v>164</v>
      </c>
      <c r="Y15" s="51">
        <f t="shared" si="5"/>
        <v>0</v>
      </c>
      <c r="Z15" s="51">
        <f t="shared" si="6"/>
        <v>0</v>
      </c>
    </row>
    <row r="16" spans="1:28" ht="20.100000000000001" customHeight="1">
      <c r="A16" s="23">
        <v>6</v>
      </c>
      <c r="B16" s="27" t="s">
        <v>55</v>
      </c>
      <c r="C16" s="23" t="s">
        <v>46</v>
      </c>
      <c r="D16" s="23" t="s">
        <v>56</v>
      </c>
      <c r="E16" s="151" t="s">
        <v>47</v>
      </c>
      <c r="F16" s="151" t="s">
        <v>57</v>
      </c>
      <c r="G16" s="151" t="s">
        <v>47</v>
      </c>
      <c r="H16" s="23"/>
      <c r="I16" s="25"/>
      <c r="J16" s="25" t="s">
        <v>33</v>
      </c>
      <c r="K16" s="25"/>
      <c r="L16" s="25"/>
      <c r="M16" s="25"/>
      <c r="N16" s="25"/>
      <c r="O16" s="25"/>
      <c r="P16" s="23" t="s">
        <v>34</v>
      </c>
      <c r="Q16" s="25"/>
      <c r="R16" s="17">
        <f t="shared" si="3"/>
        <v>574</v>
      </c>
      <c r="S16" s="23"/>
      <c r="T16" s="28" t="s">
        <v>109</v>
      </c>
      <c r="U16" s="28"/>
      <c r="V16" s="28" t="s">
        <v>34</v>
      </c>
      <c r="W16" s="28"/>
      <c r="X16" s="51">
        <f t="shared" si="4"/>
        <v>0</v>
      </c>
      <c r="Y16" s="51">
        <f t="shared" si="5"/>
        <v>410</v>
      </c>
      <c r="Z16" s="51">
        <f t="shared" si="6"/>
        <v>0</v>
      </c>
    </row>
    <row r="17" spans="1:26" ht="20.100000000000001" customHeight="1">
      <c r="A17" s="23">
        <v>7</v>
      </c>
      <c r="B17" s="27" t="s">
        <v>55</v>
      </c>
      <c r="C17" s="23" t="s">
        <v>46</v>
      </c>
      <c r="D17" s="23" t="s">
        <v>58</v>
      </c>
      <c r="E17" s="151" t="s">
        <v>47</v>
      </c>
      <c r="F17" s="151" t="s">
        <v>47</v>
      </c>
      <c r="G17" s="151" t="s">
        <v>43</v>
      </c>
      <c r="H17" s="25"/>
      <c r="I17" s="25"/>
      <c r="J17" s="23" t="s">
        <v>33</v>
      </c>
      <c r="K17" s="25"/>
      <c r="L17" s="25"/>
      <c r="M17" s="25"/>
      <c r="N17" s="25" t="s">
        <v>33</v>
      </c>
      <c r="O17" s="25"/>
      <c r="P17" s="23"/>
      <c r="Q17" s="25"/>
      <c r="R17" s="17">
        <f t="shared" si="3"/>
        <v>328</v>
      </c>
      <c r="S17" s="23"/>
      <c r="T17" s="28" t="s">
        <v>109</v>
      </c>
      <c r="U17" s="28"/>
      <c r="V17" s="28"/>
      <c r="W17" s="28"/>
      <c r="X17" s="51">
        <f t="shared" si="4"/>
        <v>0</v>
      </c>
      <c r="Y17" s="51">
        <f t="shared" si="5"/>
        <v>0</v>
      </c>
      <c r="Z17" s="51">
        <f t="shared" si="6"/>
        <v>0</v>
      </c>
    </row>
    <row r="18" spans="1:26" ht="20.100000000000001" customHeight="1">
      <c r="A18" s="23">
        <v>8</v>
      </c>
      <c r="B18" s="27" t="s">
        <v>60</v>
      </c>
      <c r="C18" s="23" t="s">
        <v>46</v>
      </c>
      <c r="D18" s="23" t="s">
        <v>59</v>
      </c>
      <c r="E18" s="151" t="s">
        <v>47</v>
      </c>
      <c r="F18" s="151" t="s">
        <v>61</v>
      </c>
      <c r="G18" s="151" t="s">
        <v>47</v>
      </c>
      <c r="H18" s="23" t="s">
        <v>43</v>
      </c>
      <c r="I18" s="25"/>
      <c r="J18" s="25"/>
      <c r="K18" s="25"/>
      <c r="L18" s="25" t="s">
        <v>33</v>
      </c>
      <c r="M18" s="25"/>
      <c r="N18" s="25"/>
      <c r="O18" s="25"/>
      <c r="P18" s="23" t="s">
        <v>35</v>
      </c>
      <c r="Q18" s="25"/>
      <c r="R18" s="17">
        <f t="shared" si="3"/>
        <v>912</v>
      </c>
      <c r="S18" s="23" t="s">
        <v>127</v>
      </c>
      <c r="T18" s="28" t="s">
        <v>110</v>
      </c>
      <c r="U18" s="28"/>
      <c r="V18" s="28" t="s">
        <v>35</v>
      </c>
      <c r="W18" s="28"/>
      <c r="X18" s="51">
        <f t="shared" si="4"/>
        <v>0</v>
      </c>
      <c r="Y18" s="51">
        <f t="shared" si="5"/>
        <v>456</v>
      </c>
      <c r="Z18" s="51">
        <f t="shared" si="6"/>
        <v>0</v>
      </c>
    </row>
    <row r="19" spans="1:26" ht="20.100000000000001" customHeight="1">
      <c r="A19" s="23">
        <v>9</v>
      </c>
      <c r="B19" s="27" t="s">
        <v>60</v>
      </c>
      <c r="C19" s="23" t="s">
        <v>46</v>
      </c>
      <c r="D19" s="23" t="s">
        <v>62</v>
      </c>
      <c r="E19" s="151" t="s">
        <v>47</v>
      </c>
      <c r="F19" s="151" t="s">
        <v>47</v>
      </c>
      <c r="G19" s="151" t="s">
        <v>43</v>
      </c>
      <c r="H19" s="25"/>
      <c r="I19" s="25"/>
      <c r="J19" s="23" t="s">
        <v>43</v>
      </c>
      <c r="K19" s="25"/>
      <c r="L19" s="25"/>
      <c r="M19" s="25"/>
      <c r="N19" s="25"/>
      <c r="O19" s="25"/>
      <c r="P19" s="25"/>
      <c r="Q19" s="25"/>
      <c r="R19" s="17">
        <f t="shared" si="3"/>
        <v>304</v>
      </c>
      <c r="S19" s="23"/>
      <c r="T19" s="28" t="s">
        <v>110</v>
      </c>
      <c r="U19" s="28"/>
      <c r="V19" s="28"/>
      <c r="W19" s="28"/>
      <c r="X19" s="51">
        <f t="shared" si="4"/>
        <v>0</v>
      </c>
      <c r="Y19" s="51">
        <f t="shared" si="5"/>
        <v>0</v>
      </c>
      <c r="Z19" s="51">
        <f t="shared" si="6"/>
        <v>0</v>
      </c>
    </row>
    <row r="20" spans="1:26" ht="20.100000000000001" customHeight="1">
      <c r="A20" s="23">
        <v>10</v>
      </c>
      <c r="B20" s="27" t="s">
        <v>64</v>
      </c>
      <c r="C20" s="23" t="s">
        <v>65</v>
      </c>
      <c r="D20" s="23" t="s">
        <v>63</v>
      </c>
      <c r="E20" s="151" t="s">
        <v>49</v>
      </c>
      <c r="F20" s="151" t="s">
        <v>47</v>
      </c>
      <c r="G20" s="151" t="s">
        <v>47</v>
      </c>
      <c r="H20" s="23"/>
      <c r="I20" s="25"/>
      <c r="J20" s="25"/>
      <c r="K20" s="25"/>
      <c r="L20" s="25"/>
      <c r="M20" s="25"/>
      <c r="N20" s="25"/>
      <c r="O20" s="25"/>
      <c r="P20" s="25" t="s">
        <v>49</v>
      </c>
      <c r="Q20" s="25"/>
      <c r="R20" s="17">
        <f t="shared" si="3"/>
        <v>228</v>
      </c>
      <c r="S20" s="23"/>
      <c r="T20" s="28" t="s">
        <v>110</v>
      </c>
      <c r="U20" s="28" t="s">
        <v>49</v>
      </c>
      <c r="V20" s="28"/>
      <c r="W20" s="28"/>
      <c r="X20" s="51">
        <f t="shared" si="4"/>
        <v>228</v>
      </c>
      <c r="Y20" s="51">
        <f t="shared" si="5"/>
        <v>0</v>
      </c>
      <c r="Z20" s="51">
        <f t="shared" si="6"/>
        <v>0</v>
      </c>
    </row>
    <row r="21" spans="1:26" ht="20.100000000000001" customHeight="1">
      <c r="A21" s="23">
        <v>11</v>
      </c>
      <c r="B21" s="27" t="s">
        <v>64</v>
      </c>
      <c r="C21" s="23" t="s">
        <v>65</v>
      </c>
      <c r="D21" s="23" t="s">
        <v>66</v>
      </c>
      <c r="E21" s="151" t="s">
        <v>47</v>
      </c>
      <c r="F21" s="151" t="s">
        <v>32</v>
      </c>
      <c r="G21" s="151" t="s">
        <v>47</v>
      </c>
      <c r="H21" s="23"/>
      <c r="I21" s="25" t="s">
        <v>33</v>
      </c>
      <c r="J21" s="25"/>
      <c r="K21" s="23"/>
      <c r="L21" s="25"/>
      <c r="M21" s="25"/>
      <c r="N21" s="25"/>
      <c r="O21" s="25"/>
      <c r="P21" s="23" t="s">
        <v>35</v>
      </c>
      <c r="Q21" s="25"/>
      <c r="R21" s="17">
        <f t="shared" si="3"/>
        <v>736</v>
      </c>
      <c r="S21" s="23"/>
      <c r="T21" s="28" t="s">
        <v>111</v>
      </c>
      <c r="U21" s="28"/>
      <c r="V21" s="28" t="s">
        <v>35</v>
      </c>
      <c r="W21" s="28"/>
      <c r="X21" s="51">
        <f t="shared" si="4"/>
        <v>0</v>
      </c>
      <c r="Y21" s="51">
        <f t="shared" si="5"/>
        <v>552</v>
      </c>
      <c r="Z21" s="51">
        <f t="shared" si="6"/>
        <v>0</v>
      </c>
    </row>
    <row r="22" spans="1:26" ht="20.100000000000001" customHeight="1">
      <c r="A22" s="23">
        <v>12</v>
      </c>
      <c r="B22" s="27" t="s">
        <v>64</v>
      </c>
      <c r="C22" s="23" t="s">
        <v>65</v>
      </c>
      <c r="D22" s="23" t="s">
        <v>123</v>
      </c>
      <c r="E22" s="151" t="s">
        <v>47</v>
      </c>
      <c r="F22" s="151" t="s">
        <v>47</v>
      </c>
      <c r="G22" s="151" t="s">
        <v>43</v>
      </c>
      <c r="H22" s="23"/>
      <c r="I22" s="25" t="s">
        <v>43</v>
      </c>
      <c r="J22" s="25"/>
      <c r="K22" s="23"/>
      <c r="L22" s="25"/>
      <c r="M22" s="25"/>
      <c r="N22" s="25"/>
      <c r="O22" s="25"/>
      <c r="P22" s="23"/>
      <c r="Q22" s="25"/>
      <c r="R22" s="17">
        <f t="shared" si="3"/>
        <v>368</v>
      </c>
      <c r="S22" s="23"/>
      <c r="T22" s="28" t="s">
        <v>111</v>
      </c>
      <c r="U22" s="28"/>
      <c r="V22" s="28"/>
      <c r="W22" s="28"/>
      <c r="X22" s="51">
        <f t="shared" si="4"/>
        <v>0</v>
      </c>
      <c r="Y22" s="51">
        <f t="shared" si="5"/>
        <v>0</v>
      </c>
      <c r="Z22" s="51">
        <f t="shared" si="6"/>
        <v>0</v>
      </c>
    </row>
    <row r="23" spans="1:26" ht="20.100000000000001" customHeight="1">
      <c r="A23" s="23">
        <v>13</v>
      </c>
      <c r="B23" s="27" t="s">
        <v>68</v>
      </c>
      <c r="C23" s="23" t="s">
        <v>69</v>
      </c>
      <c r="D23" s="23" t="s">
        <v>67</v>
      </c>
      <c r="E23" s="151" t="s">
        <v>47</v>
      </c>
      <c r="F23" s="151" t="s">
        <v>47</v>
      </c>
      <c r="G23" s="151" t="s">
        <v>43</v>
      </c>
      <c r="H23" s="25" t="s">
        <v>43</v>
      </c>
      <c r="I23" s="23"/>
      <c r="J23" s="25"/>
      <c r="K23" s="25"/>
      <c r="L23" s="25"/>
      <c r="M23" s="25"/>
      <c r="N23" s="25"/>
      <c r="O23" s="25"/>
      <c r="P23" s="25"/>
      <c r="Q23" s="25"/>
      <c r="R23" s="17">
        <f t="shared" si="3"/>
        <v>244</v>
      </c>
      <c r="S23" s="23"/>
      <c r="T23" s="28" t="s">
        <v>112</v>
      </c>
      <c r="U23" s="28"/>
      <c r="V23" s="28"/>
      <c r="W23" s="28"/>
      <c r="X23" s="51">
        <f t="shared" si="4"/>
        <v>0</v>
      </c>
      <c r="Y23" s="51">
        <f t="shared" si="5"/>
        <v>0</v>
      </c>
      <c r="Z23" s="51">
        <f t="shared" si="6"/>
        <v>0</v>
      </c>
    </row>
    <row r="24" spans="1:26" ht="20.100000000000001" customHeight="1">
      <c r="A24" s="43">
        <v>14</v>
      </c>
      <c r="B24" s="45" t="s">
        <v>71</v>
      </c>
      <c r="C24" s="43" t="s">
        <v>65</v>
      </c>
      <c r="D24" s="43" t="s">
        <v>70</v>
      </c>
      <c r="E24" s="151" t="s">
        <v>32</v>
      </c>
      <c r="F24" s="151" t="s">
        <v>47</v>
      </c>
      <c r="G24" s="151" t="s">
        <v>47</v>
      </c>
      <c r="H24" s="23" t="s">
        <v>43</v>
      </c>
      <c r="I24" s="25"/>
      <c r="J24" s="25"/>
      <c r="K24" s="25"/>
      <c r="L24" s="25"/>
      <c r="M24" s="25"/>
      <c r="N24" s="25"/>
      <c r="O24" s="25"/>
      <c r="P24" s="23" t="s">
        <v>43</v>
      </c>
      <c r="Q24" s="25"/>
      <c r="R24" s="17">
        <f t="shared" si="3"/>
        <v>424</v>
      </c>
      <c r="S24" s="23"/>
      <c r="T24" s="28" t="s">
        <v>113</v>
      </c>
      <c r="U24" s="28" t="s">
        <v>43</v>
      </c>
      <c r="V24" s="28"/>
      <c r="W24" s="28"/>
      <c r="X24" s="51">
        <f t="shared" si="4"/>
        <v>212</v>
      </c>
      <c r="Y24" s="51">
        <f t="shared" si="5"/>
        <v>0</v>
      </c>
      <c r="Z24" s="51">
        <f t="shared" si="6"/>
        <v>0</v>
      </c>
    </row>
    <row r="25" spans="1:26" ht="20.100000000000001" customHeight="1">
      <c r="A25" s="23">
        <v>15</v>
      </c>
      <c r="B25" s="27" t="s">
        <v>73</v>
      </c>
      <c r="C25" s="23" t="s">
        <v>74</v>
      </c>
      <c r="D25" s="23" t="s">
        <v>72</v>
      </c>
      <c r="E25" s="151" t="s">
        <v>34</v>
      </c>
      <c r="F25" s="151" t="s">
        <v>35</v>
      </c>
      <c r="G25" s="151" t="s">
        <v>47</v>
      </c>
      <c r="H25" s="25"/>
      <c r="I25" s="25" t="s">
        <v>34</v>
      </c>
      <c r="J25" s="23"/>
      <c r="K25" s="25"/>
      <c r="L25" s="25"/>
      <c r="M25" s="25"/>
      <c r="N25" s="25"/>
      <c r="O25" s="25"/>
      <c r="P25" s="25" t="s">
        <v>35</v>
      </c>
      <c r="Q25" s="25"/>
      <c r="R25" s="17">
        <f t="shared" si="3"/>
        <v>0</v>
      </c>
      <c r="S25" s="23"/>
      <c r="T25" s="28"/>
      <c r="U25" s="28"/>
      <c r="V25" s="28" t="s">
        <v>35</v>
      </c>
      <c r="W25" s="28"/>
      <c r="X25" s="51">
        <f t="shared" si="4"/>
        <v>0</v>
      </c>
      <c r="Y25" s="51">
        <f t="shared" si="5"/>
        <v>0</v>
      </c>
      <c r="Z25" s="51">
        <f t="shared" si="6"/>
        <v>0</v>
      </c>
    </row>
    <row r="26" spans="1:26" ht="20.100000000000001" customHeight="1">
      <c r="A26" s="23">
        <v>16</v>
      </c>
      <c r="B26" s="27" t="s">
        <v>76</v>
      </c>
      <c r="C26" s="23" t="s">
        <v>65</v>
      </c>
      <c r="D26" s="23" t="s">
        <v>75</v>
      </c>
      <c r="E26" s="151" t="s">
        <v>43</v>
      </c>
      <c r="F26" s="151" t="s">
        <v>43</v>
      </c>
      <c r="G26" s="151" t="s">
        <v>47</v>
      </c>
      <c r="H26" s="23"/>
      <c r="I26" s="25"/>
      <c r="J26" s="25"/>
      <c r="K26" s="25"/>
      <c r="L26" s="25"/>
      <c r="M26" s="25"/>
      <c r="N26" s="25" t="s">
        <v>33</v>
      </c>
      <c r="O26" s="25"/>
      <c r="P26" s="23" t="s">
        <v>35</v>
      </c>
      <c r="Q26" s="25"/>
      <c r="R26" s="17">
        <f t="shared" si="3"/>
        <v>1344</v>
      </c>
      <c r="S26" s="23"/>
      <c r="T26" s="28" t="s">
        <v>114</v>
      </c>
      <c r="U26" s="28" t="s">
        <v>33</v>
      </c>
      <c r="V26" s="28" t="s">
        <v>43</v>
      </c>
      <c r="W26" s="28"/>
      <c r="X26" s="51">
        <f t="shared" si="4"/>
        <v>336</v>
      </c>
      <c r="Y26" s="51">
        <f t="shared" si="5"/>
        <v>672</v>
      </c>
      <c r="Z26" s="51">
        <f t="shared" si="6"/>
        <v>0</v>
      </c>
    </row>
    <row r="27" spans="1:26" ht="20.100000000000001" customHeight="1">
      <c r="A27" s="23">
        <v>17</v>
      </c>
      <c r="B27" s="27" t="s">
        <v>76</v>
      </c>
      <c r="C27" s="23" t="s">
        <v>65</v>
      </c>
      <c r="D27" s="23" t="s">
        <v>77</v>
      </c>
      <c r="E27" s="151" t="s">
        <v>47</v>
      </c>
      <c r="F27" s="151" t="s">
        <v>43</v>
      </c>
      <c r="G27" s="151" t="s">
        <v>47</v>
      </c>
      <c r="H27" s="25"/>
      <c r="I27" s="25" t="s">
        <v>43</v>
      </c>
      <c r="J27" s="23"/>
      <c r="K27" s="25"/>
      <c r="L27" s="25"/>
      <c r="M27" s="25"/>
      <c r="N27" s="25"/>
      <c r="O27" s="25"/>
      <c r="P27" s="25"/>
      <c r="Q27" s="25"/>
      <c r="R27" s="17">
        <f t="shared" si="3"/>
        <v>496</v>
      </c>
      <c r="S27" s="23"/>
      <c r="T27" s="28" t="s">
        <v>115</v>
      </c>
      <c r="U27" s="28"/>
      <c r="V27" s="28"/>
      <c r="W27" s="28"/>
      <c r="X27" s="51">
        <f t="shared" si="4"/>
        <v>0</v>
      </c>
      <c r="Y27" s="51">
        <f t="shared" si="5"/>
        <v>0</v>
      </c>
      <c r="Z27" s="51">
        <f t="shared" si="6"/>
        <v>0</v>
      </c>
    </row>
    <row r="28" spans="1:26" ht="20.100000000000001" customHeight="1">
      <c r="A28" s="23">
        <v>18</v>
      </c>
      <c r="B28" s="27" t="s">
        <v>79</v>
      </c>
      <c r="C28" s="23" t="s">
        <v>80</v>
      </c>
      <c r="D28" s="23" t="s">
        <v>78</v>
      </c>
      <c r="E28" s="151" t="s">
        <v>47</v>
      </c>
      <c r="F28" s="151" t="s">
        <v>43</v>
      </c>
      <c r="G28" s="151" t="s">
        <v>47</v>
      </c>
      <c r="H28" s="23"/>
      <c r="I28" s="25" t="s">
        <v>43</v>
      </c>
      <c r="J28" s="25"/>
      <c r="K28" s="25"/>
      <c r="L28" s="25"/>
      <c r="M28" s="25"/>
      <c r="N28" s="25"/>
      <c r="O28" s="25"/>
      <c r="P28" s="23"/>
      <c r="Q28" s="25"/>
      <c r="R28" s="17">
        <f t="shared" si="3"/>
        <v>0</v>
      </c>
      <c r="S28" s="23"/>
      <c r="T28" s="28"/>
      <c r="U28" s="28"/>
      <c r="V28" s="28"/>
      <c r="W28" s="28"/>
      <c r="X28" s="51">
        <f t="shared" si="4"/>
        <v>0</v>
      </c>
      <c r="Y28" s="51">
        <f t="shared" si="5"/>
        <v>0</v>
      </c>
      <c r="Z28" s="51">
        <f t="shared" si="6"/>
        <v>0</v>
      </c>
    </row>
    <row r="29" spans="1:26" ht="20.100000000000001" customHeight="1">
      <c r="A29" s="23">
        <v>19</v>
      </c>
      <c r="B29" s="27" t="s">
        <v>82</v>
      </c>
      <c r="C29" s="23" t="s">
        <v>46</v>
      </c>
      <c r="D29" s="23" t="s">
        <v>81</v>
      </c>
      <c r="E29" s="151" t="s">
        <v>35</v>
      </c>
      <c r="F29" s="151" t="s">
        <v>49</v>
      </c>
      <c r="G29" s="151" t="s">
        <v>47</v>
      </c>
      <c r="H29" s="25" t="s">
        <v>49</v>
      </c>
      <c r="I29" s="25"/>
      <c r="J29" s="23"/>
      <c r="K29" s="25"/>
      <c r="L29" s="25"/>
      <c r="M29" s="25"/>
      <c r="N29" s="25" t="s">
        <v>43</v>
      </c>
      <c r="O29" s="25"/>
      <c r="P29" s="23" t="s">
        <v>33</v>
      </c>
      <c r="Q29" s="25"/>
      <c r="R29" s="17">
        <f t="shared" si="3"/>
        <v>1107</v>
      </c>
      <c r="S29" s="23"/>
      <c r="T29" s="28" t="s">
        <v>116</v>
      </c>
      <c r="U29" s="28" t="s">
        <v>33</v>
      </c>
      <c r="V29" s="28"/>
      <c r="W29" s="28"/>
      <c r="X29" s="51">
        <f t="shared" si="4"/>
        <v>246</v>
      </c>
      <c r="Y29" s="51">
        <f t="shared" si="5"/>
        <v>0</v>
      </c>
      <c r="Z29" s="51">
        <f t="shared" si="6"/>
        <v>0</v>
      </c>
    </row>
    <row r="30" spans="1:26" ht="20.100000000000001" customHeight="1">
      <c r="A30" s="23">
        <v>20</v>
      </c>
      <c r="B30" s="27" t="s">
        <v>82</v>
      </c>
      <c r="C30" s="23" t="s">
        <v>46</v>
      </c>
      <c r="D30" s="23" t="s">
        <v>83</v>
      </c>
      <c r="E30" s="151" t="s">
        <v>47</v>
      </c>
      <c r="F30" s="151" t="s">
        <v>47</v>
      </c>
      <c r="G30" s="151" t="s">
        <v>43</v>
      </c>
      <c r="H30" s="25"/>
      <c r="I30" s="25"/>
      <c r="J30" s="23" t="s">
        <v>43</v>
      </c>
      <c r="K30" s="25"/>
      <c r="L30" s="25"/>
      <c r="M30" s="25"/>
      <c r="N30" s="25"/>
      <c r="O30" s="25"/>
      <c r="P30" s="23"/>
      <c r="Q30" s="25"/>
      <c r="R30" s="17">
        <f t="shared" si="3"/>
        <v>492</v>
      </c>
      <c r="S30" s="23"/>
      <c r="T30" s="28" t="s">
        <v>116</v>
      </c>
      <c r="U30" s="28"/>
      <c r="V30" s="28"/>
      <c r="W30" s="28"/>
      <c r="X30" s="51">
        <f t="shared" si="4"/>
        <v>0</v>
      </c>
      <c r="Y30" s="51">
        <f t="shared" si="5"/>
        <v>0</v>
      </c>
      <c r="Z30" s="51">
        <f t="shared" si="6"/>
        <v>0</v>
      </c>
    </row>
    <row r="31" spans="1:26" ht="20.100000000000001" customHeight="1">
      <c r="A31" s="23">
        <v>21</v>
      </c>
      <c r="B31" s="27" t="s">
        <v>85</v>
      </c>
      <c r="C31" s="23" t="s">
        <v>40</v>
      </c>
      <c r="D31" s="23" t="s">
        <v>84</v>
      </c>
      <c r="E31" s="151" t="s">
        <v>32</v>
      </c>
      <c r="F31" s="151" t="s">
        <v>61</v>
      </c>
      <c r="G31" s="151" t="s">
        <v>35</v>
      </c>
      <c r="H31" s="23"/>
      <c r="I31" s="25"/>
      <c r="J31" s="25"/>
      <c r="K31" s="25"/>
      <c r="L31" s="25"/>
      <c r="M31" s="23" t="s">
        <v>86</v>
      </c>
      <c r="N31" s="25" t="s">
        <v>92</v>
      </c>
      <c r="O31" s="25"/>
      <c r="P31" s="23" t="s">
        <v>87</v>
      </c>
      <c r="Q31" s="25"/>
      <c r="R31" s="17">
        <f t="shared" si="3"/>
        <v>5356</v>
      </c>
      <c r="S31" s="23"/>
      <c r="T31" s="28" t="s">
        <v>117</v>
      </c>
      <c r="U31" s="28" t="s">
        <v>35</v>
      </c>
      <c r="V31" s="28" t="s">
        <v>35</v>
      </c>
      <c r="W31" s="28"/>
      <c r="X31" s="51">
        <f t="shared" si="4"/>
        <v>1236</v>
      </c>
      <c r="Y31" s="51">
        <f t="shared" si="5"/>
        <v>1236</v>
      </c>
      <c r="Z31" s="51">
        <f t="shared" si="6"/>
        <v>0</v>
      </c>
    </row>
    <row r="32" spans="1:26" ht="20.100000000000001" customHeight="1">
      <c r="A32" s="23">
        <v>22</v>
      </c>
      <c r="B32" s="27" t="s">
        <v>88</v>
      </c>
      <c r="C32" s="23" t="s">
        <v>69</v>
      </c>
      <c r="D32" s="23" t="s">
        <v>91</v>
      </c>
      <c r="E32" s="151" t="s">
        <v>47</v>
      </c>
      <c r="F32" s="151" t="s">
        <v>90</v>
      </c>
      <c r="G32" s="151" t="s">
        <v>47</v>
      </c>
      <c r="H32" s="23" t="s">
        <v>92</v>
      </c>
      <c r="I32" s="25"/>
      <c r="J32" s="25"/>
      <c r="K32" s="23"/>
      <c r="L32" s="25" t="s">
        <v>86</v>
      </c>
      <c r="M32" s="25"/>
      <c r="N32" s="25"/>
      <c r="O32" s="25"/>
      <c r="P32" s="23" t="s">
        <v>86</v>
      </c>
      <c r="Q32" s="25"/>
      <c r="R32" s="17">
        <f t="shared" si="3"/>
        <v>3360</v>
      </c>
      <c r="S32" s="23" t="s">
        <v>128</v>
      </c>
      <c r="T32" s="28" t="s">
        <v>114</v>
      </c>
      <c r="U32" s="28"/>
      <c r="V32" s="28" t="s">
        <v>35</v>
      </c>
      <c r="W32" s="28"/>
      <c r="X32" s="51">
        <f t="shared" si="4"/>
        <v>0</v>
      </c>
      <c r="Y32" s="51">
        <f t="shared" si="5"/>
        <v>1008</v>
      </c>
      <c r="Z32" s="51">
        <f t="shared" si="6"/>
        <v>0</v>
      </c>
    </row>
    <row r="33" spans="1:26" ht="20.100000000000001" customHeight="1">
      <c r="A33" s="23">
        <v>23</v>
      </c>
      <c r="B33" s="27" t="s">
        <v>88</v>
      </c>
      <c r="C33" s="23" t="s">
        <v>69</v>
      </c>
      <c r="D33" s="23" t="s">
        <v>93</v>
      </c>
      <c r="E33" s="151" t="s">
        <v>47</v>
      </c>
      <c r="F33" s="151" t="s">
        <v>47</v>
      </c>
      <c r="G33" s="151" t="s">
        <v>32</v>
      </c>
      <c r="H33" s="25"/>
      <c r="I33" s="25"/>
      <c r="J33" s="25" t="s">
        <v>92</v>
      </c>
      <c r="K33" s="23"/>
      <c r="L33" s="25"/>
      <c r="M33" s="25"/>
      <c r="N33" s="23"/>
      <c r="O33" s="25"/>
      <c r="P33" s="23"/>
      <c r="Q33" s="25"/>
      <c r="R33" s="17">
        <f t="shared" si="3"/>
        <v>1344</v>
      </c>
      <c r="S33" s="23"/>
      <c r="T33" s="28" t="s">
        <v>114</v>
      </c>
      <c r="U33" s="28"/>
      <c r="V33" s="28"/>
      <c r="W33" s="28"/>
      <c r="X33" s="51">
        <f t="shared" si="4"/>
        <v>0</v>
      </c>
      <c r="Y33" s="51">
        <f t="shared" si="5"/>
        <v>0</v>
      </c>
      <c r="Z33" s="51">
        <f t="shared" si="6"/>
        <v>0</v>
      </c>
    </row>
    <row r="34" spans="1:26" ht="20.100000000000001" customHeight="1">
      <c r="A34" s="23">
        <v>24</v>
      </c>
      <c r="B34" s="27" t="s">
        <v>95</v>
      </c>
      <c r="C34" s="23" t="s">
        <v>69</v>
      </c>
      <c r="D34" s="23" t="s">
        <v>94</v>
      </c>
      <c r="E34" s="151" t="s">
        <v>61</v>
      </c>
      <c r="F34" s="151" t="s">
        <v>90</v>
      </c>
      <c r="G34" s="151" t="s">
        <v>47</v>
      </c>
      <c r="H34" s="25"/>
      <c r="I34" s="23"/>
      <c r="J34" s="25"/>
      <c r="K34" s="23"/>
      <c r="L34" s="25"/>
      <c r="M34" s="25" t="s">
        <v>92</v>
      </c>
      <c r="N34" s="25"/>
      <c r="O34" s="25"/>
      <c r="P34" s="23" t="s">
        <v>96</v>
      </c>
      <c r="Q34" s="25"/>
      <c r="R34" s="17">
        <f t="shared" si="3"/>
        <v>6208</v>
      </c>
      <c r="S34" s="23"/>
      <c r="T34" s="28" t="s">
        <v>118</v>
      </c>
      <c r="U34" s="28" t="s">
        <v>32</v>
      </c>
      <c r="V34" s="28" t="s">
        <v>89</v>
      </c>
      <c r="W34" s="28"/>
      <c r="X34" s="51">
        <f t="shared" si="4"/>
        <v>1552</v>
      </c>
      <c r="Y34" s="51">
        <f t="shared" si="5"/>
        <v>3104</v>
      </c>
      <c r="Z34" s="51">
        <f t="shared" si="6"/>
        <v>0</v>
      </c>
    </row>
    <row r="35" spans="1:26" ht="20.100000000000001" customHeight="1">
      <c r="A35" s="43">
        <v>25</v>
      </c>
      <c r="B35" s="45" t="s">
        <v>98</v>
      </c>
      <c r="C35" s="43" t="s">
        <v>69</v>
      </c>
      <c r="D35" s="43" t="s">
        <v>97</v>
      </c>
      <c r="E35" s="151" t="s">
        <v>32</v>
      </c>
      <c r="F35" s="151" t="s">
        <v>32</v>
      </c>
      <c r="G35" s="151" t="s">
        <v>49</v>
      </c>
      <c r="H35" s="25"/>
      <c r="I35" s="25" t="s">
        <v>43</v>
      </c>
      <c r="J35" s="25"/>
      <c r="K35" s="25"/>
      <c r="L35" s="25"/>
      <c r="M35" s="25"/>
      <c r="N35" s="23" t="s">
        <v>49</v>
      </c>
      <c r="O35" s="25"/>
      <c r="P35" s="25" t="s">
        <v>61</v>
      </c>
      <c r="Q35" s="25"/>
      <c r="R35" s="17">
        <f t="shared" si="3"/>
        <v>6251</v>
      </c>
      <c r="S35" s="23"/>
      <c r="T35" s="28" t="s">
        <v>119</v>
      </c>
      <c r="U35" s="28" t="s">
        <v>43</v>
      </c>
      <c r="V35" s="28" t="s">
        <v>32</v>
      </c>
      <c r="W35" s="28"/>
      <c r="X35" s="51">
        <f t="shared" si="4"/>
        <v>1316</v>
      </c>
      <c r="Y35" s="51">
        <f t="shared" si="5"/>
        <v>2632</v>
      </c>
      <c r="Z35" s="51">
        <f t="shared" si="6"/>
        <v>0</v>
      </c>
    </row>
    <row r="36" spans="1:26" ht="20.100000000000001" customHeight="1">
      <c r="A36" s="23">
        <v>26</v>
      </c>
      <c r="B36" s="45" t="s">
        <v>98</v>
      </c>
      <c r="C36" s="43" t="s">
        <v>69</v>
      </c>
      <c r="D36" s="23" t="s">
        <v>99</v>
      </c>
      <c r="E36" s="151" t="s">
        <v>47</v>
      </c>
      <c r="F36" s="151" t="s">
        <v>47</v>
      </c>
      <c r="G36" s="151" t="s">
        <v>34</v>
      </c>
      <c r="H36" s="25"/>
      <c r="I36" s="25"/>
      <c r="J36" s="23" t="s">
        <v>43</v>
      </c>
      <c r="K36" s="25" t="s">
        <v>31</v>
      </c>
      <c r="L36" s="25"/>
      <c r="M36" s="25"/>
      <c r="N36" s="25"/>
      <c r="O36" s="25"/>
      <c r="P36" s="23"/>
      <c r="Q36" s="25"/>
      <c r="R36" s="17">
        <f t="shared" si="3"/>
        <v>1645</v>
      </c>
      <c r="S36" s="23" t="s">
        <v>129</v>
      </c>
      <c r="T36" s="28" t="s">
        <v>119</v>
      </c>
      <c r="U36" s="28"/>
      <c r="V36" s="28"/>
      <c r="W36" s="28"/>
      <c r="X36" s="51">
        <f t="shared" si="4"/>
        <v>0</v>
      </c>
      <c r="Y36" s="51">
        <f t="shared" si="5"/>
        <v>0</v>
      </c>
      <c r="Z36" s="51">
        <f t="shared" si="6"/>
        <v>0</v>
      </c>
    </row>
    <row r="37" spans="1:26" ht="20.100000000000001" customHeight="1">
      <c r="A37" s="25">
        <v>27</v>
      </c>
      <c r="B37" s="49" t="s">
        <v>101</v>
      </c>
      <c r="C37" s="25" t="s">
        <v>102</v>
      </c>
      <c r="D37" s="25" t="s">
        <v>100</v>
      </c>
      <c r="E37" s="152" t="s">
        <v>57</v>
      </c>
      <c r="F37" s="152" t="s">
        <v>47</v>
      </c>
      <c r="G37" s="152" t="s">
        <v>47</v>
      </c>
      <c r="H37" s="25"/>
      <c r="I37" s="25" t="s">
        <v>43</v>
      </c>
      <c r="J37" s="25"/>
      <c r="K37" s="25" t="s">
        <v>49</v>
      </c>
      <c r="L37" s="25"/>
      <c r="M37" s="25"/>
      <c r="N37" s="25"/>
      <c r="O37" s="25"/>
      <c r="P37" s="25"/>
      <c r="Q37" s="25"/>
      <c r="R37" s="17">
        <f t="shared" si="3"/>
        <v>2261</v>
      </c>
      <c r="S37" s="23" t="s">
        <v>130</v>
      </c>
      <c r="T37" s="28" t="s">
        <v>120</v>
      </c>
      <c r="U37" s="28"/>
      <c r="V37" s="28"/>
      <c r="W37" s="28"/>
      <c r="X37" s="51">
        <f t="shared" si="4"/>
        <v>0</v>
      </c>
      <c r="Y37" s="51">
        <f t="shared" si="5"/>
        <v>0</v>
      </c>
      <c r="Z37" s="51">
        <f t="shared" si="6"/>
        <v>0</v>
      </c>
    </row>
    <row r="38" spans="1:26" ht="20.100000000000001" customHeight="1">
      <c r="A38" s="25">
        <v>28</v>
      </c>
      <c r="B38" s="49" t="s">
        <v>101</v>
      </c>
      <c r="C38" s="25" t="s">
        <v>102</v>
      </c>
      <c r="D38" s="25" t="s">
        <v>103</v>
      </c>
      <c r="E38" s="152" t="s">
        <v>47</v>
      </c>
      <c r="F38" s="152" t="s">
        <v>35</v>
      </c>
      <c r="G38" s="152" t="s">
        <v>43</v>
      </c>
      <c r="H38" s="25"/>
      <c r="I38" s="25" t="s">
        <v>43</v>
      </c>
      <c r="J38" s="25"/>
      <c r="K38" s="25" t="s">
        <v>35</v>
      </c>
      <c r="L38" s="25"/>
      <c r="M38" s="25"/>
      <c r="N38" s="25"/>
      <c r="O38" s="25"/>
      <c r="P38" s="25"/>
      <c r="Q38" s="25"/>
      <c r="R38" s="17">
        <f t="shared" si="3"/>
        <v>3800</v>
      </c>
      <c r="S38" s="23" t="s">
        <v>131</v>
      </c>
      <c r="T38" s="28" t="s">
        <v>121</v>
      </c>
      <c r="U38" s="28"/>
      <c r="V38" s="28"/>
      <c r="W38" s="28"/>
      <c r="X38" s="51">
        <f t="shared" si="4"/>
        <v>0</v>
      </c>
      <c r="Y38" s="51">
        <f t="shared" si="5"/>
        <v>0</v>
      </c>
      <c r="Z38" s="51">
        <f t="shared" si="6"/>
        <v>0</v>
      </c>
    </row>
    <row r="39" spans="1:26" ht="20.100000000000001" customHeight="1">
      <c r="A39" s="23">
        <v>29</v>
      </c>
      <c r="B39" s="27" t="s">
        <v>105</v>
      </c>
      <c r="C39" s="23" t="s">
        <v>69</v>
      </c>
      <c r="D39" s="24" t="s">
        <v>104</v>
      </c>
      <c r="E39" s="153" t="s">
        <v>47</v>
      </c>
      <c r="F39" s="151" t="s">
        <v>43</v>
      </c>
      <c r="G39" s="151" t="s">
        <v>47</v>
      </c>
      <c r="H39" s="23" t="s">
        <v>43</v>
      </c>
      <c r="I39" s="23"/>
      <c r="J39" s="23"/>
      <c r="K39" s="23"/>
      <c r="L39" s="23"/>
      <c r="M39" s="23"/>
      <c r="N39" s="23"/>
      <c r="O39" s="23"/>
      <c r="P39" s="23"/>
      <c r="Q39" s="25"/>
      <c r="R39" s="17">
        <f t="shared" si="3"/>
        <v>1252</v>
      </c>
      <c r="S39" s="25"/>
      <c r="T39" s="28" t="s">
        <v>122</v>
      </c>
      <c r="U39" s="28"/>
      <c r="V39" s="28"/>
      <c r="W39" s="28"/>
      <c r="X39" s="51">
        <f t="shared" si="4"/>
        <v>0</v>
      </c>
      <c r="Y39" s="51">
        <f t="shared" si="5"/>
        <v>0</v>
      </c>
      <c r="Z39" s="51">
        <f t="shared" si="6"/>
        <v>0</v>
      </c>
    </row>
    <row r="40" spans="1:26" ht="20.100000000000001" customHeight="1">
      <c r="A40" s="23">
        <v>30</v>
      </c>
      <c r="B40" s="27" t="s">
        <v>105</v>
      </c>
      <c r="C40" s="23" t="s">
        <v>69</v>
      </c>
      <c r="D40" s="24" t="s">
        <v>106</v>
      </c>
      <c r="E40" s="154" t="s">
        <v>47</v>
      </c>
      <c r="F40" s="151" t="s">
        <v>47</v>
      </c>
      <c r="G40" s="155" t="s">
        <v>43</v>
      </c>
      <c r="H40" s="23"/>
      <c r="I40" s="23"/>
      <c r="J40" s="23" t="s">
        <v>43</v>
      </c>
      <c r="K40" s="23"/>
      <c r="L40" s="23"/>
      <c r="M40" s="23"/>
      <c r="N40" s="23"/>
      <c r="O40" s="23"/>
      <c r="P40" s="23"/>
      <c r="Q40" s="25"/>
      <c r="R40" s="17">
        <f t="shared" si="3"/>
        <v>1252</v>
      </c>
      <c r="S40" s="25"/>
      <c r="T40" s="28" t="s">
        <v>122</v>
      </c>
      <c r="U40" s="28"/>
      <c r="V40" s="28"/>
      <c r="W40" s="28"/>
      <c r="X40" s="51">
        <f t="shared" si="4"/>
        <v>0</v>
      </c>
      <c r="Y40" s="51">
        <f t="shared" si="5"/>
        <v>0</v>
      </c>
      <c r="Z40" s="51">
        <f t="shared" si="6"/>
        <v>0</v>
      </c>
    </row>
    <row r="41" spans="1:26" ht="20.100000000000001" customHeight="1">
      <c r="A41" s="23"/>
      <c r="B41" s="23"/>
      <c r="C41" s="23"/>
      <c r="D41" s="24"/>
      <c r="E41" s="61"/>
      <c r="F41" s="61"/>
      <c r="G41" s="61"/>
      <c r="H41" s="23"/>
      <c r="I41" s="23"/>
      <c r="J41" s="23"/>
      <c r="K41" s="23"/>
      <c r="L41" s="23"/>
      <c r="M41" s="23"/>
      <c r="N41" s="23"/>
      <c r="O41" s="23"/>
      <c r="P41" s="23"/>
      <c r="Q41" s="25"/>
      <c r="R41" s="17"/>
      <c r="S41" s="54"/>
      <c r="T41" s="51"/>
      <c r="U41" s="51"/>
      <c r="V41" s="51"/>
      <c r="W41" s="51"/>
      <c r="X41" s="51"/>
      <c r="Y41" s="51"/>
      <c r="Z41" s="51"/>
    </row>
    <row r="42" spans="1:26" ht="20.100000000000001" customHeight="1">
      <c r="A42" s="23"/>
      <c r="B42" s="23"/>
      <c r="C42" s="23"/>
      <c r="D42" s="24"/>
      <c r="E42" s="61"/>
      <c r="F42" s="61"/>
      <c r="G42" s="61"/>
      <c r="H42" s="23"/>
      <c r="I42" s="23"/>
      <c r="J42" s="23"/>
      <c r="K42" s="23"/>
      <c r="L42" s="23"/>
      <c r="M42" s="23"/>
      <c r="N42" s="23"/>
      <c r="O42" s="23"/>
      <c r="P42" s="23"/>
      <c r="Q42" s="25"/>
      <c r="R42" s="17"/>
      <c r="S42" s="54"/>
      <c r="T42" s="51"/>
      <c r="U42" s="51"/>
      <c r="V42" s="51"/>
      <c r="W42" s="51"/>
      <c r="X42" s="51"/>
      <c r="Y42" s="51"/>
      <c r="Z42" s="51"/>
    </row>
    <row r="43" spans="1:26" ht="20.100000000000001" customHeight="1">
      <c r="A43" s="23"/>
      <c r="B43" s="23"/>
      <c r="C43" s="23"/>
      <c r="D43" s="24"/>
      <c r="E43" s="61"/>
      <c r="F43" s="61"/>
      <c r="G43" s="61"/>
      <c r="H43" s="23"/>
      <c r="I43" s="23"/>
      <c r="J43" s="23"/>
      <c r="K43" s="23"/>
      <c r="L43" s="23"/>
      <c r="M43" s="23"/>
      <c r="N43" s="23"/>
      <c r="O43" s="23"/>
      <c r="P43" s="23"/>
      <c r="Q43" s="25"/>
      <c r="R43" s="17"/>
      <c r="S43" s="54"/>
      <c r="T43" s="51"/>
      <c r="U43" s="51"/>
      <c r="V43" s="51"/>
      <c r="W43" s="51"/>
      <c r="X43" s="51"/>
      <c r="Y43" s="51"/>
      <c r="Z43" s="51"/>
    </row>
    <row r="44" spans="1:26" ht="20.100000000000001" customHeight="1">
      <c r="A44" s="23"/>
      <c r="B44" s="23"/>
      <c r="C44" s="23"/>
      <c r="D44" s="24"/>
      <c r="E44" s="61"/>
      <c r="F44" s="61"/>
      <c r="G44" s="61"/>
      <c r="H44" s="23"/>
      <c r="I44" s="23"/>
      <c r="J44" s="23"/>
      <c r="K44" s="23"/>
      <c r="L44" s="23"/>
      <c r="M44" s="23"/>
      <c r="N44" s="23"/>
      <c r="O44" s="23"/>
      <c r="P44" s="23"/>
      <c r="Q44" s="25"/>
      <c r="R44" s="17"/>
      <c r="S44" s="54"/>
      <c r="T44" s="51"/>
      <c r="U44" s="51"/>
      <c r="V44" s="51"/>
      <c r="W44" s="51"/>
      <c r="X44" s="51"/>
      <c r="Y44" s="51"/>
      <c r="Z44" s="51"/>
    </row>
    <row r="45" spans="1:26" ht="20.100000000000001" customHeight="1">
      <c r="A45" s="23"/>
      <c r="B45" s="23"/>
      <c r="C45" s="23"/>
      <c r="D45" s="24"/>
      <c r="E45" s="61"/>
      <c r="F45" s="61"/>
      <c r="G45" s="61"/>
      <c r="H45" s="23"/>
      <c r="I45" s="23"/>
      <c r="J45" s="23"/>
      <c r="K45" s="23"/>
      <c r="L45" s="23"/>
      <c r="M45" s="23"/>
      <c r="N45" s="23"/>
      <c r="O45" s="23"/>
      <c r="P45" s="23"/>
      <c r="Q45" s="25"/>
      <c r="R45" s="17"/>
      <c r="S45" s="54"/>
      <c r="T45" s="51"/>
      <c r="U45" s="51"/>
      <c r="V45" s="51"/>
      <c r="W45" s="51"/>
      <c r="X45" s="51"/>
      <c r="Y45" s="51"/>
      <c r="Z45" s="51"/>
    </row>
    <row r="46" spans="1:26" ht="20.100000000000001" customHeight="1">
      <c r="A46" s="23"/>
      <c r="B46" s="26"/>
      <c r="C46" s="23"/>
      <c r="D46" s="24"/>
      <c r="E46" s="61"/>
      <c r="F46" s="61"/>
      <c r="G46" s="61"/>
      <c r="H46" s="23"/>
      <c r="I46" s="23"/>
      <c r="J46" s="23"/>
      <c r="K46" s="23"/>
      <c r="L46" s="23"/>
      <c r="M46" s="23"/>
      <c r="N46" s="23"/>
      <c r="O46" s="23"/>
      <c r="P46" s="23"/>
      <c r="Q46" s="25"/>
      <c r="R46" s="17"/>
      <c r="S46" s="54"/>
      <c r="T46" s="51"/>
      <c r="U46" s="51"/>
      <c r="V46" s="51"/>
      <c r="W46" s="51"/>
      <c r="X46" s="51"/>
      <c r="Y46" s="51"/>
      <c r="Z46" s="51"/>
    </row>
    <row r="47" spans="1:26" ht="20.100000000000001" customHeight="1">
      <c r="A47" s="23"/>
      <c r="B47" s="26"/>
      <c r="C47" s="23"/>
      <c r="D47" s="24"/>
      <c r="E47" s="61"/>
      <c r="F47" s="61"/>
      <c r="G47" s="61"/>
      <c r="H47" s="23"/>
      <c r="I47" s="23"/>
      <c r="J47" s="23"/>
      <c r="K47" s="23"/>
      <c r="L47" s="23"/>
      <c r="M47" s="23"/>
      <c r="N47" s="23"/>
      <c r="O47" s="23"/>
      <c r="P47" s="23"/>
      <c r="Q47" s="25"/>
      <c r="R47" s="17"/>
      <c r="S47" s="54"/>
      <c r="T47" s="51"/>
      <c r="U47" s="51"/>
      <c r="V47" s="51"/>
      <c r="W47" s="51"/>
      <c r="X47" s="51"/>
      <c r="Y47" s="51"/>
      <c r="Z47" s="51"/>
    </row>
    <row r="48" spans="1:26" ht="20.100000000000001" customHeight="1">
      <c r="A48" s="23"/>
      <c r="B48" s="23"/>
      <c r="C48" s="23"/>
      <c r="D48" s="24"/>
      <c r="E48" s="61"/>
      <c r="F48" s="61"/>
      <c r="G48" s="61"/>
      <c r="H48" s="23"/>
      <c r="I48" s="23"/>
      <c r="J48" s="23"/>
      <c r="K48" s="23"/>
      <c r="L48" s="23"/>
      <c r="M48" s="23"/>
      <c r="N48" s="23"/>
      <c r="O48" s="23"/>
      <c r="P48" s="23"/>
      <c r="Q48" s="25"/>
      <c r="R48" s="17"/>
      <c r="S48" s="38"/>
      <c r="T48" s="51"/>
      <c r="U48" s="51"/>
      <c r="V48" s="51"/>
      <c r="W48" s="51"/>
      <c r="X48" s="51"/>
      <c r="Y48" s="51"/>
      <c r="Z48" s="51"/>
    </row>
    <row r="49" spans="1:26" ht="20.100000000000001" customHeight="1">
      <c r="A49" s="23"/>
      <c r="B49" s="23"/>
      <c r="C49" s="23"/>
      <c r="D49" s="24"/>
      <c r="E49" s="61"/>
      <c r="F49" s="61"/>
      <c r="G49" s="61"/>
      <c r="H49" s="23"/>
      <c r="I49" s="23"/>
      <c r="J49" s="23"/>
      <c r="K49" s="23"/>
      <c r="L49" s="23"/>
      <c r="M49" s="23"/>
      <c r="N49" s="23"/>
      <c r="O49" s="23"/>
      <c r="P49" s="23"/>
      <c r="Q49" s="25"/>
      <c r="R49" s="17"/>
      <c r="S49" s="38"/>
      <c r="T49" s="51"/>
      <c r="U49" s="51"/>
      <c r="V49" s="51"/>
      <c r="W49" s="51"/>
      <c r="X49" s="51"/>
      <c r="Y49" s="51"/>
      <c r="Z49" s="51"/>
    </row>
    <row r="50" spans="1:26" ht="20.100000000000001" customHeight="1">
      <c r="A50" s="23"/>
      <c r="B50" s="23"/>
      <c r="C50" s="23"/>
      <c r="D50" s="24"/>
      <c r="E50" s="61"/>
      <c r="F50" s="61"/>
      <c r="G50" s="61"/>
      <c r="H50" s="23"/>
      <c r="I50" s="23"/>
      <c r="J50" s="23"/>
      <c r="K50" s="23"/>
      <c r="L50" s="23"/>
      <c r="M50" s="23"/>
      <c r="N50" s="23"/>
      <c r="O50" s="23"/>
      <c r="P50" s="23"/>
      <c r="Q50" s="25"/>
      <c r="R50" s="17"/>
      <c r="S50" s="38"/>
      <c r="T50" s="51"/>
      <c r="U50" s="51"/>
      <c r="V50" s="51"/>
      <c r="W50" s="51"/>
      <c r="X50" s="51"/>
      <c r="Y50" s="51"/>
      <c r="Z50" s="51"/>
    </row>
    <row r="51" spans="1:26" ht="20.100000000000001" customHeight="1">
      <c r="A51" s="23"/>
      <c r="B51" s="27"/>
      <c r="C51" s="23"/>
      <c r="D51" s="23"/>
      <c r="E51" s="61"/>
      <c r="F51" s="61"/>
      <c r="G51" s="61"/>
      <c r="H51" s="23"/>
      <c r="I51" s="23"/>
      <c r="J51" s="23"/>
      <c r="K51" s="23"/>
      <c r="L51" s="23"/>
      <c r="M51" s="23"/>
      <c r="N51" s="23"/>
      <c r="O51" s="23"/>
      <c r="P51" s="23"/>
      <c r="Q51" s="25"/>
      <c r="R51" s="4"/>
      <c r="S51" s="38"/>
      <c r="T51" s="51"/>
      <c r="U51" s="51"/>
      <c r="V51" s="51"/>
      <c r="W51" s="51"/>
      <c r="X51" s="51"/>
      <c r="Y51" s="51"/>
      <c r="Z51" s="51"/>
    </row>
    <row r="52" spans="1:26" ht="20.100000000000001" customHeight="1">
      <c r="A52" s="23"/>
      <c r="B52" s="27"/>
      <c r="C52" s="23"/>
      <c r="D52" s="23"/>
      <c r="E52" s="61"/>
      <c r="F52" s="61"/>
      <c r="G52" s="61"/>
      <c r="H52" s="23"/>
      <c r="I52" s="23"/>
      <c r="J52" s="25"/>
      <c r="K52" s="23"/>
      <c r="L52" s="25"/>
      <c r="M52" s="25"/>
      <c r="N52" s="25"/>
      <c r="O52" s="25"/>
      <c r="P52" s="23"/>
      <c r="Q52" s="25"/>
      <c r="R52" s="4"/>
      <c r="S52" s="38"/>
      <c r="T52" s="51"/>
      <c r="U52" s="51"/>
      <c r="V52" s="51"/>
      <c r="W52" s="51"/>
      <c r="X52" s="51"/>
      <c r="Y52" s="51"/>
      <c r="Z52" s="51"/>
    </row>
    <row r="53" spans="1:26" ht="20.100000000000001" customHeight="1">
      <c r="A53" s="23"/>
      <c r="B53" s="27"/>
      <c r="C53" s="23"/>
      <c r="D53" s="23"/>
      <c r="E53" s="61"/>
      <c r="F53" s="61"/>
      <c r="G53" s="61"/>
      <c r="H53" s="23"/>
      <c r="I53" s="23"/>
      <c r="J53" s="25"/>
      <c r="K53" s="23"/>
      <c r="L53" s="25"/>
      <c r="M53" s="25"/>
      <c r="N53" s="25"/>
      <c r="O53" s="25"/>
      <c r="P53" s="23"/>
      <c r="Q53" s="25"/>
      <c r="R53" s="4"/>
      <c r="S53" s="38"/>
      <c r="T53" s="51"/>
      <c r="U53" s="51"/>
      <c r="V53" s="51"/>
      <c r="W53" s="51"/>
      <c r="X53" s="51"/>
      <c r="Y53" s="51"/>
      <c r="Z53" s="51"/>
    </row>
    <row r="54" spans="1:26" ht="20.100000000000001" customHeight="1">
      <c r="A54" s="23"/>
      <c r="B54" s="27"/>
      <c r="C54" s="23"/>
      <c r="D54" s="23"/>
      <c r="E54" s="61"/>
      <c r="F54" s="61"/>
      <c r="G54" s="61"/>
      <c r="H54" s="23"/>
      <c r="I54" s="23"/>
      <c r="J54" s="25"/>
      <c r="K54" s="23"/>
      <c r="L54" s="25"/>
      <c r="M54" s="25"/>
      <c r="N54" s="25"/>
      <c r="O54" s="25"/>
      <c r="P54" s="23"/>
      <c r="Q54" s="25"/>
      <c r="R54" s="4"/>
      <c r="S54" s="38"/>
      <c r="T54" s="51"/>
      <c r="U54" s="51"/>
      <c r="V54" s="51"/>
      <c r="W54" s="51"/>
      <c r="X54" s="51"/>
      <c r="Y54" s="51"/>
      <c r="Z54" s="51"/>
    </row>
    <row r="55" spans="1:26" ht="20.100000000000001" customHeight="1">
      <c r="A55" s="23"/>
      <c r="B55" s="27"/>
      <c r="C55" s="23"/>
      <c r="D55" s="23"/>
      <c r="E55" s="61"/>
      <c r="F55" s="61"/>
      <c r="G55" s="61"/>
      <c r="H55" s="23"/>
      <c r="I55" s="23"/>
      <c r="J55" s="25"/>
      <c r="K55" s="23"/>
      <c r="L55" s="25"/>
      <c r="M55" s="25"/>
      <c r="N55" s="25"/>
      <c r="O55" s="25"/>
      <c r="P55" s="23"/>
      <c r="Q55" s="25"/>
      <c r="R55" s="4"/>
      <c r="S55" s="38"/>
      <c r="T55" s="51"/>
      <c r="U55" s="51"/>
      <c r="V55" s="51"/>
      <c r="W55" s="51"/>
      <c r="X55" s="51"/>
      <c r="Y55" s="51"/>
      <c r="Z55" s="51"/>
    </row>
    <row r="56" spans="1:26" ht="20.100000000000001" customHeight="1">
      <c r="A56" s="23"/>
      <c r="B56" s="27"/>
      <c r="C56" s="23"/>
      <c r="D56" s="23"/>
      <c r="E56" s="61"/>
      <c r="F56" s="61"/>
      <c r="G56" s="61"/>
      <c r="H56" s="23"/>
      <c r="I56" s="23"/>
      <c r="J56" s="25"/>
      <c r="K56" s="23"/>
      <c r="L56" s="25"/>
      <c r="M56" s="25"/>
      <c r="N56" s="25"/>
      <c r="O56" s="25"/>
      <c r="P56" s="23"/>
      <c r="Q56" s="25"/>
      <c r="R56" s="4"/>
      <c r="S56" s="38"/>
      <c r="T56" s="51"/>
      <c r="U56" s="51"/>
      <c r="V56" s="51"/>
      <c r="W56" s="51"/>
      <c r="X56" s="51"/>
      <c r="Y56" s="51"/>
      <c r="Z56" s="51"/>
    </row>
    <row r="57" spans="1:26" ht="20.100000000000001" customHeight="1">
      <c r="A57" s="23"/>
      <c r="B57" s="27"/>
      <c r="C57" s="23"/>
      <c r="D57" s="23"/>
      <c r="E57" s="61"/>
      <c r="F57" s="61"/>
      <c r="G57" s="61"/>
      <c r="H57" s="23"/>
      <c r="I57" s="23"/>
      <c r="J57" s="25"/>
      <c r="K57" s="23"/>
      <c r="L57" s="25"/>
      <c r="M57" s="25"/>
      <c r="N57" s="25"/>
      <c r="O57" s="25"/>
      <c r="P57" s="23"/>
      <c r="Q57" s="25"/>
      <c r="R57" s="4"/>
      <c r="S57" s="38"/>
      <c r="T57" s="51"/>
      <c r="U57" s="51"/>
      <c r="V57" s="51"/>
      <c r="W57" s="51"/>
      <c r="X57" s="51"/>
      <c r="Y57" s="51"/>
      <c r="Z57" s="51"/>
    </row>
    <row r="58" spans="1:26" ht="20.100000000000001" customHeight="1">
      <c r="A58" s="23"/>
      <c r="B58" s="27"/>
      <c r="C58" s="23"/>
      <c r="D58" s="23"/>
      <c r="E58" s="61"/>
      <c r="F58" s="61"/>
      <c r="G58" s="61"/>
      <c r="H58" s="23"/>
      <c r="I58" s="23"/>
      <c r="J58" s="25"/>
      <c r="K58" s="23"/>
      <c r="L58" s="25"/>
      <c r="M58" s="25"/>
      <c r="N58" s="25"/>
      <c r="O58" s="25"/>
      <c r="P58" s="23"/>
      <c r="Q58" s="25"/>
      <c r="R58" s="4"/>
      <c r="S58" s="38"/>
      <c r="T58" s="51"/>
      <c r="U58" s="51"/>
      <c r="V58" s="51"/>
      <c r="W58" s="51"/>
      <c r="X58" s="51"/>
      <c r="Y58" s="51"/>
      <c r="Z58" s="51"/>
    </row>
    <row r="59" spans="1:26" ht="20.100000000000001" customHeight="1">
      <c r="A59" s="23"/>
      <c r="B59" s="27"/>
      <c r="C59" s="23"/>
      <c r="D59" s="23"/>
      <c r="E59" s="61"/>
      <c r="F59" s="61"/>
      <c r="G59" s="61"/>
      <c r="H59" s="23"/>
      <c r="I59" s="23"/>
      <c r="J59" s="25"/>
      <c r="K59" s="23"/>
      <c r="L59" s="25"/>
      <c r="M59" s="25"/>
      <c r="N59" s="25"/>
      <c r="O59" s="25"/>
      <c r="P59" s="23"/>
      <c r="Q59" s="25"/>
      <c r="R59" s="4"/>
      <c r="S59" s="38"/>
      <c r="T59" s="51"/>
      <c r="U59" s="51"/>
      <c r="V59" s="51"/>
      <c r="W59" s="51"/>
      <c r="X59" s="51"/>
      <c r="Y59" s="51"/>
      <c r="Z59" s="51"/>
    </row>
    <row r="60" spans="1:26" ht="20.100000000000001" customHeight="1">
      <c r="A60" s="23"/>
      <c r="B60" s="27"/>
      <c r="C60" s="23"/>
      <c r="D60" s="23"/>
      <c r="E60" s="61"/>
      <c r="F60" s="61"/>
      <c r="G60" s="61"/>
      <c r="H60" s="23"/>
      <c r="I60" s="23"/>
      <c r="J60" s="25"/>
      <c r="K60" s="23"/>
      <c r="L60" s="25"/>
      <c r="M60" s="25"/>
      <c r="N60" s="25"/>
      <c r="O60" s="25"/>
      <c r="P60" s="23"/>
      <c r="Q60" s="25"/>
      <c r="R60" s="4"/>
      <c r="S60" s="38"/>
      <c r="T60" s="51"/>
      <c r="U60" s="51"/>
      <c r="V60" s="51"/>
      <c r="W60" s="51"/>
      <c r="X60" s="51"/>
      <c r="Y60" s="51"/>
      <c r="Z60" s="51"/>
    </row>
    <row r="61" spans="1:26" ht="20.100000000000001" customHeight="1">
      <c r="A61" s="23"/>
      <c r="B61" s="27"/>
      <c r="C61" s="23"/>
      <c r="D61" s="23"/>
      <c r="E61" s="61"/>
      <c r="F61" s="61"/>
      <c r="G61" s="61"/>
      <c r="H61" s="23"/>
      <c r="I61" s="23"/>
      <c r="J61" s="25"/>
      <c r="K61" s="23"/>
      <c r="L61" s="25"/>
      <c r="M61" s="25"/>
      <c r="N61" s="25"/>
      <c r="O61" s="25"/>
      <c r="P61" s="23"/>
      <c r="Q61" s="25"/>
      <c r="R61" s="4"/>
      <c r="S61" s="38"/>
      <c r="T61" s="51"/>
      <c r="U61" s="51"/>
      <c r="V61" s="51"/>
      <c r="W61" s="51"/>
      <c r="X61" s="51"/>
      <c r="Y61" s="51"/>
      <c r="Z61" s="51"/>
    </row>
    <row r="62" spans="1:26" ht="20.100000000000001" customHeight="1">
      <c r="A62" s="23"/>
      <c r="B62" s="27"/>
      <c r="C62" s="23"/>
      <c r="D62" s="23"/>
      <c r="E62" s="61"/>
      <c r="F62" s="61"/>
      <c r="G62" s="61"/>
      <c r="H62" s="23"/>
      <c r="I62" s="23"/>
      <c r="J62" s="25"/>
      <c r="K62" s="23"/>
      <c r="L62" s="25"/>
      <c r="M62" s="25"/>
      <c r="N62" s="25"/>
      <c r="O62" s="25"/>
      <c r="P62" s="23"/>
      <c r="Q62" s="25"/>
      <c r="R62" s="4"/>
      <c r="S62" s="38"/>
      <c r="T62" s="51"/>
      <c r="U62" s="51"/>
      <c r="V62" s="51"/>
      <c r="W62" s="51"/>
      <c r="X62" s="51"/>
      <c r="Y62" s="51"/>
      <c r="Z62" s="51"/>
    </row>
    <row r="63" spans="1:26" ht="20.100000000000001" customHeight="1">
      <c r="A63" s="23"/>
      <c r="B63" s="27"/>
      <c r="C63" s="23"/>
      <c r="D63" s="23"/>
      <c r="E63" s="61"/>
      <c r="F63" s="61"/>
      <c r="G63" s="61"/>
      <c r="H63" s="23"/>
      <c r="I63" s="23"/>
      <c r="J63" s="25"/>
      <c r="K63" s="23"/>
      <c r="L63" s="25"/>
      <c r="M63" s="25"/>
      <c r="N63" s="25"/>
      <c r="O63" s="25"/>
      <c r="P63" s="23"/>
      <c r="Q63" s="25"/>
      <c r="R63" s="4"/>
      <c r="S63" s="38"/>
      <c r="T63" s="51"/>
      <c r="U63" s="51"/>
      <c r="V63" s="51"/>
      <c r="W63" s="51"/>
      <c r="X63" s="51"/>
      <c r="Y63" s="51"/>
      <c r="Z63" s="51"/>
    </row>
    <row r="64" spans="1:26" ht="20.100000000000001" customHeight="1">
      <c r="A64" s="23"/>
      <c r="B64" s="27"/>
      <c r="C64" s="23"/>
      <c r="D64" s="23"/>
      <c r="E64" s="61"/>
      <c r="F64" s="61"/>
      <c r="G64" s="61"/>
      <c r="H64" s="23"/>
      <c r="I64" s="23"/>
      <c r="J64" s="25"/>
      <c r="K64" s="23"/>
      <c r="L64" s="25"/>
      <c r="M64" s="25"/>
      <c r="N64" s="25"/>
      <c r="O64" s="25"/>
      <c r="P64" s="23"/>
      <c r="Q64" s="25"/>
      <c r="R64" s="4"/>
      <c r="S64" s="38"/>
      <c r="T64" s="51"/>
      <c r="U64" s="51"/>
      <c r="V64" s="51"/>
      <c r="W64" s="51"/>
      <c r="X64" s="51"/>
      <c r="Y64" s="51"/>
      <c r="Z64" s="51"/>
    </row>
    <row r="65" spans="1:26" ht="20.100000000000001" customHeight="1">
      <c r="A65" s="23"/>
      <c r="B65" s="27"/>
      <c r="C65" s="23"/>
      <c r="D65" s="23"/>
      <c r="E65" s="61"/>
      <c r="F65" s="61"/>
      <c r="G65" s="61"/>
      <c r="H65" s="23"/>
      <c r="I65" s="23"/>
      <c r="J65" s="25"/>
      <c r="K65" s="23"/>
      <c r="L65" s="25"/>
      <c r="M65" s="25"/>
      <c r="N65" s="25"/>
      <c r="O65" s="25"/>
      <c r="P65" s="23"/>
      <c r="Q65" s="25"/>
      <c r="R65" s="4"/>
      <c r="S65" s="38"/>
      <c r="T65" s="51"/>
      <c r="U65" s="51"/>
      <c r="V65" s="51"/>
      <c r="W65" s="51"/>
      <c r="X65" s="51"/>
      <c r="Y65" s="51"/>
      <c r="Z65" s="51"/>
    </row>
    <row r="66" spans="1:26" ht="20.100000000000001" customHeight="1">
      <c r="A66" s="23"/>
      <c r="B66" s="27"/>
      <c r="C66" s="23"/>
      <c r="D66" s="23"/>
      <c r="E66" s="61"/>
      <c r="F66" s="61"/>
      <c r="G66" s="61"/>
      <c r="H66" s="23"/>
      <c r="I66" s="23"/>
      <c r="J66" s="25"/>
      <c r="K66" s="23"/>
      <c r="L66" s="25"/>
      <c r="M66" s="25"/>
      <c r="N66" s="25"/>
      <c r="O66" s="25"/>
      <c r="P66" s="23"/>
      <c r="Q66" s="25"/>
      <c r="R66" s="4"/>
      <c r="S66" s="38"/>
      <c r="T66" s="51"/>
      <c r="U66" s="51"/>
      <c r="V66" s="51"/>
      <c r="W66" s="51"/>
      <c r="X66" s="51"/>
      <c r="Y66" s="51"/>
      <c r="Z66" s="51"/>
    </row>
    <row r="67" spans="1:26" ht="20.100000000000001" customHeight="1">
      <c r="A67" s="23"/>
      <c r="B67" s="27"/>
      <c r="C67" s="23"/>
      <c r="D67" s="23"/>
      <c r="E67" s="61"/>
      <c r="F67" s="61"/>
      <c r="G67" s="61"/>
      <c r="H67" s="23"/>
      <c r="I67" s="23"/>
      <c r="J67" s="25"/>
      <c r="K67" s="23"/>
      <c r="L67" s="25"/>
      <c r="M67" s="25"/>
      <c r="N67" s="25"/>
      <c r="O67" s="25"/>
      <c r="P67" s="23"/>
      <c r="Q67" s="25"/>
      <c r="R67" s="4"/>
      <c r="S67" s="38"/>
      <c r="T67" s="51"/>
      <c r="U67" s="51"/>
      <c r="V67" s="51"/>
      <c r="W67" s="51"/>
      <c r="X67" s="51"/>
      <c r="Y67" s="51"/>
      <c r="Z67" s="51"/>
    </row>
    <row r="68" spans="1:26" ht="20.100000000000001" customHeight="1">
      <c r="A68" s="23"/>
      <c r="B68" s="27"/>
      <c r="C68" s="23"/>
      <c r="D68" s="23"/>
      <c r="E68" s="61"/>
      <c r="F68" s="61"/>
      <c r="G68" s="61"/>
      <c r="H68" s="23"/>
      <c r="I68" s="23"/>
      <c r="J68" s="25"/>
      <c r="K68" s="23"/>
      <c r="L68" s="25"/>
      <c r="M68" s="25"/>
      <c r="N68" s="25"/>
      <c r="O68" s="25"/>
      <c r="P68" s="23"/>
      <c r="Q68" s="25"/>
      <c r="R68" s="4"/>
      <c r="S68" s="38"/>
      <c r="T68" s="51"/>
      <c r="U68" s="51"/>
      <c r="V68" s="51"/>
      <c r="W68" s="51"/>
      <c r="X68" s="51"/>
      <c r="Y68" s="51"/>
      <c r="Z68" s="51"/>
    </row>
    <row r="69" spans="1:26" ht="20.100000000000001" customHeight="1">
      <c r="A69" s="23"/>
      <c r="B69" s="27"/>
      <c r="C69" s="23"/>
      <c r="D69" s="23"/>
      <c r="E69" s="61"/>
      <c r="F69" s="61"/>
      <c r="G69" s="61"/>
      <c r="H69" s="23"/>
      <c r="I69" s="23"/>
      <c r="J69" s="25"/>
      <c r="K69" s="23"/>
      <c r="L69" s="25"/>
      <c r="M69" s="25"/>
      <c r="N69" s="25"/>
      <c r="O69" s="25"/>
      <c r="P69" s="23"/>
      <c r="Q69" s="25"/>
      <c r="R69" s="4"/>
      <c r="S69" s="38"/>
      <c r="T69" s="51"/>
      <c r="U69" s="51"/>
      <c r="V69" s="51"/>
      <c r="W69" s="51"/>
      <c r="X69" s="51"/>
      <c r="Y69" s="51"/>
      <c r="Z69" s="51"/>
    </row>
    <row r="70" spans="1:26" ht="20.100000000000001" customHeight="1">
      <c r="A70" s="23"/>
      <c r="B70" s="27"/>
      <c r="C70" s="23"/>
      <c r="D70" s="23"/>
      <c r="E70" s="61"/>
      <c r="F70" s="61"/>
      <c r="G70" s="61"/>
      <c r="H70" s="23"/>
      <c r="I70" s="23"/>
      <c r="J70" s="25"/>
      <c r="K70" s="23"/>
      <c r="L70" s="25"/>
      <c r="M70" s="25"/>
      <c r="N70" s="25"/>
      <c r="O70" s="25"/>
      <c r="P70" s="23"/>
      <c r="Q70" s="25"/>
      <c r="R70" s="4"/>
      <c r="S70" s="38"/>
      <c r="T70" s="51"/>
      <c r="U70" s="51"/>
      <c r="V70" s="51"/>
      <c r="W70" s="51"/>
      <c r="X70" s="51"/>
      <c r="Y70" s="51"/>
      <c r="Z70" s="51"/>
    </row>
    <row r="71" spans="1:26" ht="20.100000000000001" customHeight="1">
      <c r="A71" s="23"/>
      <c r="B71" s="27"/>
      <c r="C71" s="23"/>
      <c r="D71" s="23"/>
      <c r="E71" s="61"/>
      <c r="F71" s="61"/>
      <c r="G71" s="61"/>
      <c r="H71" s="23"/>
      <c r="I71" s="23"/>
      <c r="J71" s="25"/>
      <c r="K71" s="23"/>
      <c r="L71" s="25"/>
      <c r="M71" s="25"/>
      <c r="N71" s="25"/>
      <c r="O71" s="25"/>
      <c r="P71" s="23"/>
      <c r="Q71" s="25"/>
      <c r="R71" s="4"/>
      <c r="S71" s="38"/>
      <c r="T71" s="51"/>
      <c r="U71" s="51"/>
      <c r="V71" s="51"/>
      <c r="W71" s="51"/>
      <c r="X71" s="51"/>
      <c r="Y71" s="51"/>
      <c r="Z71" s="51"/>
    </row>
    <row r="72" spans="1:26" ht="20.100000000000001" customHeight="1">
      <c r="A72" s="23"/>
      <c r="B72" s="27"/>
      <c r="C72" s="23"/>
      <c r="D72" s="23"/>
      <c r="E72" s="61"/>
      <c r="F72" s="61"/>
      <c r="G72" s="61"/>
      <c r="H72" s="23"/>
      <c r="I72" s="23"/>
      <c r="J72" s="25"/>
      <c r="K72" s="23"/>
      <c r="L72" s="25"/>
      <c r="M72" s="25"/>
      <c r="N72" s="25"/>
      <c r="O72" s="25"/>
      <c r="P72" s="23"/>
      <c r="Q72" s="25"/>
      <c r="R72" s="4"/>
      <c r="S72" s="38"/>
      <c r="T72" s="51"/>
      <c r="U72" s="51"/>
      <c r="V72" s="51"/>
      <c r="W72" s="51"/>
      <c r="X72" s="51"/>
      <c r="Y72" s="51"/>
      <c r="Z72" s="51"/>
    </row>
    <row r="73" spans="1:26" ht="20.100000000000001" customHeight="1">
      <c r="A73" s="23"/>
      <c r="B73" s="27"/>
      <c r="C73" s="23"/>
      <c r="D73" s="23"/>
      <c r="E73" s="61"/>
      <c r="F73" s="61"/>
      <c r="G73" s="61"/>
      <c r="H73" s="23"/>
      <c r="I73" s="23"/>
      <c r="J73" s="25"/>
      <c r="K73" s="23"/>
      <c r="L73" s="25"/>
      <c r="M73" s="25"/>
      <c r="N73" s="25"/>
      <c r="O73" s="25"/>
      <c r="P73" s="23"/>
      <c r="Q73" s="25"/>
      <c r="R73" s="4"/>
      <c r="S73" s="38"/>
      <c r="T73" s="51"/>
      <c r="U73" s="51"/>
      <c r="V73" s="51"/>
      <c r="W73" s="51"/>
      <c r="X73" s="51"/>
      <c r="Y73" s="51"/>
      <c r="Z73" s="51"/>
    </row>
    <row r="74" spans="1:26" ht="20.100000000000001" customHeight="1">
      <c r="A74" s="23"/>
      <c r="B74" s="27"/>
      <c r="C74" s="23"/>
      <c r="D74" s="23"/>
      <c r="E74" s="61"/>
      <c r="F74" s="61"/>
      <c r="G74" s="61"/>
      <c r="H74" s="23"/>
      <c r="I74" s="23"/>
      <c r="J74" s="25"/>
      <c r="K74" s="23"/>
      <c r="L74" s="25"/>
      <c r="M74" s="25"/>
      <c r="N74" s="25"/>
      <c r="O74" s="25"/>
      <c r="P74" s="23"/>
      <c r="Q74" s="25"/>
      <c r="R74" s="4"/>
      <c r="S74" s="38"/>
      <c r="T74" s="51"/>
      <c r="U74" s="51"/>
      <c r="V74" s="51"/>
      <c r="W74" s="51"/>
      <c r="X74" s="51"/>
      <c r="Y74" s="51"/>
      <c r="Z74" s="51"/>
    </row>
    <row r="75" spans="1:26" ht="20.100000000000001" customHeight="1">
      <c r="A75" s="23"/>
      <c r="B75" s="27"/>
      <c r="C75" s="23"/>
      <c r="D75" s="23"/>
      <c r="E75" s="61"/>
      <c r="F75" s="61"/>
      <c r="G75" s="61"/>
      <c r="H75" s="23"/>
      <c r="I75" s="23"/>
      <c r="J75" s="25"/>
      <c r="K75" s="23"/>
      <c r="L75" s="25"/>
      <c r="M75" s="25"/>
      <c r="N75" s="25"/>
      <c r="O75" s="25"/>
      <c r="P75" s="23"/>
      <c r="Q75" s="25"/>
      <c r="R75" s="4"/>
      <c r="S75" s="38"/>
      <c r="T75" s="51"/>
      <c r="U75" s="51"/>
      <c r="V75" s="51"/>
      <c r="W75" s="51"/>
      <c r="X75" s="51"/>
      <c r="Y75" s="51"/>
      <c r="Z75" s="51"/>
    </row>
    <row r="76" spans="1:26" ht="20.100000000000001" customHeight="1">
      <c r="A76" s="23"/>
      <c r="B76" s="27"/>
      <c r="C76" s="23"/>
      <c r="D76" s="23"/>
      <c r="E76" s="61"/>
      <c r="F76" s="61"/>
      <c r="G76" s="61"/>
      <c r="H76" s="23"/>
      <c r="I76" s="23"/>
      <c r="J76" s="25"/>
      <c r="K76" s="23"/>
      <c r="L76" s="25"/>
      <c r="M76" s="25"/>
      <c r="N76" s="25"/>
      <c r="O76" s="25"/>
      <c r="P76" s="23"/>
      <c r="Q76" s="25"/>
      <c r="R76" s="4"/>
      <c r="S76" s="38"/>
      <c r="T76" s="51"/>
      <c r="U76" s="51"/>
      <c r="V76" s="51"/>
      <c r="W76" s="51"/>
      <c r="X76" s="51"/>
      <c r="Y76" s="51"/>
      <c r="Z76" s="51"/>
    </row>
    <row r="77" spans="1:26" ht="20.100000000000001" customHeight="1">
      <c r="A77" s="23"/>
      <c r="B77" s="27"/>
      <c r="C77" s="23"/>
      <c r="D77" s="23"/>
      <c r="E77" s="61"/>
      <c r="F77" s="61"/>
      <c r="G77" s="61"/>
      <c r="H77" s="23"/>
      <c r="I77" s="23"/>
      <c r="J77" s="25"/>
      <c r="K77" s="23"/>
      <c r="L77" s="25"/>
      <c r="M77" s="25"/>
      <c r="N77" s="25"/>
      <c r="O77" s="25"/>
      <c r="P77" s="23"/>
      <c r="Q77" s="25"/>
      <c r="R77" s="4"/>
      <c r="S77" s="38"/>
      <c r="T77" s="51"/>
      <c r="U77" s="51"/>
      <c r="V77" s="51"/>
      <c r="W77" s="51"/>
      <c r="X77" s="51"/>
      <c r="Y77" s="51"/>
      <c r="Z77" s="51"/>
    </row>
    <row r="78" spans="1:26" ht="20.100000000000001" customHeight="1">
      <c r="A78" s="23"/>
      <c r="B78" s="27"/>
      <c r="C78" s="23"/>
      <c r="D78" s="23"/>
      <c r="E78" s="61"/>
      <c r="F78" s="61"/>
      <c r="G78" s="61"/>
      <c r="H78" s="23"/>
      <c r="I78" s="23"/>
      <c r="J78" s="25"/>
      <c r="K78" s="23"/>
      <c r="L78" s="25"/>
      <c r="M78" s="25"/>
      <c r="N78" s="25"/>
      <c r="O78" s="25"/>
      <c r="P78" s="23"/>
      <c r="Q78" s="25"/>
      <c r="R78" s="4"/>
      <c r="S78" s="38"/>
      <c r="T78" s="51"/>
      <c r="U78" s="51"/>
      <c r="V78" s="51"/>
      <c r="W78" s="51"/>
      <c r="X78" s="51"/>
      <c r="Y78" s="51"/>
      <c r="Z78" s="51"/>
    </row>
    <row r="79" spans="1:26" ht="20.100000000000001" customHeight="1">
      <c r="A79" s="23"/>
      <c r="B79" s="27"/>
      <c r="C79" s="23"/>
      <c r="D79" s="23"/>
      <c r="E79" s="61"/>
      <c r="F79" s="61"/>
      <c r="G79" s="61"/>
      <c r="H79" s="23"/>
      <c r="I79" s="23"/>
      <c r="J79" s="25"/>
      <c r="K79" s="23"/>
      <c r="L79" s="25"/>
      <c r="M79" s="25"/>
      <c r="N79" s="25"/>
      <c r="O79" s="25"/>
      <c r="P79" s="23"/>
      <c r="Q79" s="25"/>
      <c r="R79" s="4"/>
      <c r="S79" s="38"/>
      <c r="T79" s="51"/>
      <c r="U79" s="51"/>
      <c r="V79" s="51"/>
      <c r="W79" s="51"/>
      <c r="X79" s="51"/>
      <c r="Y79" s="51"/>
      <c r="Z79" s="51"/>
    </row>
    <row r="80" spans="1:26" ht="20.100000000000001" customHeight="1">
      <c r="A80" s="23"/>
      <c r="B80" s="27"/>
      <c r="C80" s="23"/>
      <c r="D80" s="23"/>
      <c r="E80" s="61"/>
      <c r="F80" s="61"/>
      <c r="G80" s="61"/>
      <c r="H80" s="23"/>
      <c r="I80" s="23"/>
      <c r="J80" s="25"/>
      <c r="K80" s="23"/>
      <c r="L80" s="25"/>
      <c r="M80" s="25"/>
      <c r="N80" s="25"/>
      <c r="O80" s="25"/>
      <c r="P80" s="23"/>
      <c r="Q80" s="25"/>
      <c r="R80" s="4"/>
      <c r="S80" s="38"/>
      <c r="T80" s="51"/>
      <c r="U80" s="51"/>
      <c r="V80" s="51"/>
      <c r="W80" s="51"/>
      <c r="X80" s="51"/>
      <c r="Y80" s="51"/>
      <c r="Z80" s="51"/>
    </row>
    <row r="81" spans="1:26" ht="20.100000000000001" customHeight="1">
      <c r="A81" s="23"/>
      <c r="B81" s="27"/>
      <c r="C81" s="23"/>
      <c r="D81" s="23"/>
      <c r="E81" s="61"/>
      <c r="F81" s="61"/>
      <c r="G81" s="61"/>
      <c r="H81" s="23"/>
      <c r="I81" s="23"/>
      <c r="J81" s="25"/>
      <c r="K81" s="23"/>
      <c r="L81" s="25"/>
      <c r="M81" s="25"/>
      <c r="N81" s="25"/>
      <c r="O81" s="25"/>
      <c r="P81" s="23"/>
      <c r="Q81" s="25"/>
      <c r="R81" s="4"/>
      <c r="S81" s="38"/>
      <c r="T81" s="51"/>
      <c r="U81" s="51"/>
      <c r="V81" s="51"/>
      <c r="W81" s="51"/>
      <c r="X81" s="51"/>
      <c r="Y81" s="51"/>
      <c r="Z81" s="51"/>
    </row>
    <row r="82" spans="1:26" ht="20.100000000000001" customHeight="1">
      <c r="A82" s="23"/>
      <c r="B82" s="27"/>
      <c r="C82" s="23"/>
      <c r="D82" s="23"/>
      <c r="E82" s="61"/>
      <c r="F82" s="61"/>
      <c r="G82" s="61"/>
      <c r="H82" s="23"/>
      <c r="I82" s="23"/>
      <c r="J82" s="25"/>
      <c r="K82" s="23"/>
      <c r="L82" s="25"/>
      <c r="M82" s="25"/>
      <c r="N82" s="25"/>
      <c r="O82" s="25"/>
      <c r="P82" s="23"/>
      <c r="Q82" s="25"/>
      <c r="R82" s="4"/>
      <c r="S82" s="38"/>
      <c r="T82" s="51"/>
      <c r="U82" s="51"/>
      <c r="V82" s="51"/>
      <c r="W82" s="51"/>
      <c r="X82" s="51"/>
      <c r="Y82" s="51"/>
      <c r="Z82" s="51"/>
    </row>
    <row r="83" spans="1:26" ht="20.100000000000001" customHeight="1">
      <c r="A83" s="23"/>
      <c r="B83" s="27"/>
      <c r="C83" s="23"/>
      <c r="D83" s="23"/>
      <c r="E83" s="61"/>
      <c r="F83" s="61"/>
      <c r="G83" s="61"/>
      <c r="H83" s="23"/>
      <c r="I83" s="23"/>
      <c r="J83" s="25"/>
      <c r="K83" s="23"/>
      <c r="L83" s="25"/>
      <c r="M83" s="25"/>
      <c r="N83" s="25"/>
      <c r="O83" s="25"/>
      <c r="P83" s="23"/>
      <c r="Q83" s="25"/>
      <c r="R83" s="4"/>
      <c r="S83" s="38"/>
      <c r="T83" s="51"/>
      <c r="U83" s="51"/>
      <c r="V83" s="51"/>
      <c r="W83" s="51"/>
      <c r="X83" s="51"/>
      <c r="Y83" s="51"/>
      <c r="Z83" s="51"/>
    </row>
    <row r="84" spans="1:26" ht="20.100000000000001" customHeight="1">
      <c r="A84" s="23"/>
      <c r="B84" s="27"/>
      <c r="C84" s="23"/>
      <c r="D84" s="23"/>
      <c r="E84" s="61"/>
      <c r="F84" s="61"/>
      <c r="G84" s="61"/>
      <c r="H84" s="23"/>
      <c r="I84" s="23"/>
      <c r="J84" s="25"/>
      <c r="K84" s="23"/>
      <c r="L84" s="25"/>
      <c r="M84" s="25"/>
      <c r="N84" s="25"/>
      <c r="O84" s="25"/>
      <c r="P84" s="23"/>
      <c r="Q84" s="25"/>
      <c r="R84" s="4"/>
      <c r="S84" s="38"/>
      <c r="T84" s="51"/>
      <c r="U84" s="51"/>
      <c r="V84" s="51"/>
      <c r="W84" s="51"/>
      <c r="X84" s="51"/>
      <c r="Y84" s="51"/>
      <c r="Z84" s="51"/>
    </row>
    <row r="85" spans="1:26" ht="20.100000000000001" customHeight="1">
      <c r="A85" s="23"/>
      <c r="B85" s="27"/>
      <c r="C85" s="23"/>
      <c r="D85" s="23"/>
      <c r="E85" s="61"/>
      <c r="F85" s="61"/>
      <c r="G85" s="61"/>
      <c r="H85" s="23"/>
      <c r="I85" s="23"/>
      <c r="J85" s="25"/>
      <c r="K85" s="23"/>
      <c r="L85" s="25"/>
      <c r="M85" s="25"/>
      <c r="N85" s="25"/>
      <c r="O85" s="25"/>
      <c r="P85" s="23"/>
      <c r="Q85" s="25"/>
      <c r="R85" s="4"/>
      <c r="S85" s="38"/>
      <c r="T85" s="51"/>
      <c r="U85" s="51"/>
      <c r="V85" s="51"/>
      <c r="W85" s="51"/>
      <c r="X85" s="51"/>
      <c r="Y85" s="51"/>
      <c r="Z85" s="51"/>
    </row>
    <row r="86" spans="1:26" ht="20.100000000000001" customHeight="1">
      <c r="A86" s="23"/>
      <c r="B86" s="27"/>
      <c r="C86" s="23"/>
      <c r="D86" s="23"/>
      <c r="E86" s="61"/>
      <c r="F86" s="61"/>
      <c r="G86" s="61"/>
      <c r="H86" s="23"/>
      <c r="I86" s="23"/>
      <c r="J86" s="25"/>
      <c r="K86" s="23"/>
      <c r="L86" s="25"/>
      <c r="M86" s="25"/>
      <c r="N86" s="25"/>
      <c r="O86" s="25"/>
      <c r="P86" s="23"/>
      <c r="Q86" s="25"/>
      <c r="R86" s="4"/>
      <c r="S86" s="38"/>
      <c r="T86" s="51"/>
      <c r="U86" s="51"/>
      <c r="V86" s="51"/>
      <c r="W86" s="51"/>
      <c r="X86" s="51"/>
      <c r="Y86" s="51"/>
      <c r="Z86" s="51"/>
    </row>
    <row r="87" spans="1:26" ht="20.100000000000001" customHeight="1">
      <c r="A87" s="23"/>
      <c r="B87" s="27"/>
      <c r="C87" s="23"/>
      <c r="D87" s="23"/>
      <c r="E87" s="61"/>
      <c r="F87" s="61"/>
      <c r="G87" s="61"/>
      <c r="H87" s="23"/>
      <c r="I87" s="23"/>
      <c r="J87" s="25"/>
      <c r="K87" s="23"/>
      <c r="L87" s="25"/>
      <c r="M87" s="25"/>
      <c r="N87" s="25"/>
      <c r="O87" s="25"/>
      <c r="P87" s="23"/>
      <c r="Q87" s="25"/>
      <c r="R87" s="4"/>
      <c r="S87" s="38"/>
      <c r="T87" s="51"/>
      <c r="U87" s="51"/>
      <c r="V87" s="51"/>
      <c r="W87" s="51"/>
      <c r="X87" s="51"/>
      <c r="Y87" s="51"/>
      <c r="Z87" s="51"/>
    </row>
    <row r="88" spans="1:26" ht="20.100000000000001" customHeight="1">
      <c r="A88" s="23"/>
      <c r="B88" s="27"/>
      <c r="C88" s="23"/>
      <c r="D88" s="23"/>
      <c r="E88" s="61"/>
      <c r="F88" s="61"/>
      <c r="G88" s="61"/>
      <c r="H88" s="23"/>
      <c r="I88" s="23"/>
      <c r="J88" s="25"/>
      <c r="K88" s="23"/>
      <c r="L88" s="25"/>
      <c r="M88" s="25"/>
      <c r="N88" s="25"/>
      <c r="O88" s="25"/>
      <c r="P88" s="23"/>
      <c r="Q88" s="25"/>
      <c r="R88" s="4"/>
      <c r="S88" s="38"/>
      <c r="T88" s="51"/>
      <c r="U88" s="51"/>
      <c r="V88" s="51"/>
      <c r="W88" s="51"/>
      <c r="X88" s="51"/>
      <c r="Y88" s="51"/>
      <c r="Z88" s="51"/>
    </row>
    <row r="89" spans="1:26" ht="20.100000000000001" customHeight="1">
      <c r="A89" s="23"/>
      <c r="B89" s="27"/>
      <c r="C89" s="23"/>
      <c r="D89" s="23"/>
      <c r="E89" s="61"/>
      <c r="F89" s="61"/>
      <c r="G89" s="61"/>
      <c r="H89" s="23"/>
      <c r="I89" s="23"/>
      <c r="J89" s="25"/>
      <c r="K89" s="23"/>
      <c r="L89" s="25"/>
      <c r="M89" s="25"/>
      <c r="N89" s="25"/>
      <c r="O89" s="25"/>
      <c r="P89" s="23"/>
      <c r="Q89" s="25"/>
      <c r="R89" s="4"/>
      <c r="S89" s="38"/>
      <c r="T89" s="51"/>
      <c r="U89" s="51"/>
      <c r="V89" s="51"/>
      <c r="W89" s="51"/>
      <c r="X89" s="51"/>
      <c r="Y89" s="51"/>
      <c r="Z89" s="51"/>
    </row>
    <row r="90" spans="1:26" ht="20.100000000000001" customHeight="1">
      <c r="A90" s="23"/>
      <c r="B90" s="27"/>
      <c r="C90" s="23"/>
      <c r="D90" s="23"/>
      <c r="E90" s="61"/>
      <c r="F90" s="61"/>
      <c r="G90" s="61"/>
      <c r="H90" s="23"/>
      <c r="I90" s="23"/>
      <c r="J90" s="25"/>
      <c r="K90" s="23"/>
      <c r="L90" s="25"/>
      <c r="M90" s="25"/>
      <c r="N90" s="25"/>
      <c r="O90" s="25"/>
      <c r="P90" s="23"/>
      <c r="Q90" s="25"/>
      <c r="R90" s="4"/>
      <c r="S90" s="38"/>
      <c r="T90" s="51"/>
      <c r="U90" s="51"/>
      <c r="V90" s="51"/>
      <c r="W90" s="51"/>
      <c r="X90" s="51"/>
      <c r="Y90" s="51"/>
      <c r="Z90" s="51"/>
    </row>
    <row r="91" spans="1:26" ht="20.100000000000001" customHeight="1">
      <c r="A91" s="23"/>
      <c r="B91" s="27"/>
      <c r="C91" s="23"/>
      <c r="D91" s="23"/>
      <c r="E91" s="61"/>
      <c r="F91" s="61"/>
      <c r="G91" s="61"/>
      <c r="H91" s="23"/>
      <c r="I91" s="23"/>
      <c r="J91" s="25"/>
      <c r="K91" s="23"/>
      <c r="L91" s="25"/>
      <c r="M91" s="25"/>
      <c r="N91" s="25"/>
      <c r="O91" s="25"/>
      <c r="P91" s="23"/>
      <c r="Q91" s="25"/>
      <c r="R91" s="4"/>
      <c r="S91" s="38"/>
      <c r="T91" s="51"/>
      <c r="U91" s="51"/>
      <c r="V91" s="51"/>
      <c r="W91" s="51"/>
      <c r="X91" s="51"/>
      <c r="Y91" s="51"/>
      <c r="Z91" s="51"/>
    </row>
    <row r="92" spans="1:26" ht="20.100000000000001" customHeight="1">
      <c r="A92" s="23"/>
      <c r="B92" s="27"/>
      <c r="C92" s="23"/>
      <c r="D92" s="23"/>
      <c r="E92" s="61"/>
      <c r="F92" s="61"/>
      <c r="G92" s="61"/>
      <c r="H92" s="23"/>
      <c r="I92" s="23"/>
      <c r="J92" s="25"/>
      <c r="K92" s="23"/>
      <c r="L92" s="25"/>
      <c r="M92" s="25"/>
      <c r="N92" s="25"/>
      <c r="O92" s="25"/>
      <c r="P92" s="23"/>
      <c r="Q92" s="25"/>
      <c r="R92" s="4"/>
      <c r="S92" s="38"/>
      <c r="T92" s="51"/>
      <c r="U92" s="51"/>
      <c r="V92" s="51"/>
      <c r="W92" s="51"/>
      <c r="X92" s="51"/>
      <c r="Y92" s="51"/>
      <c r="Z92" s="51"/>
    </row>
    <row r="93" spans="1:26" ht="20.100000000000001" customHeight="1">
      <c r="A93" s="23"/>
      <c r="B93" s="27"/>
      <c r="C93" s="23"/>
      <c r="D93" s="23"/>
      <c r="E93" s="61"/>
      <c r="F93" s="61"/>
      <c r="G93" s="61"/>
      <c r="H93" s="23"/>
      <c r="I93" s="23"/>
      <c r="J93" s="25"/>
      <c r="K93" s="23"/>
      <c r="L93" s="25"/>
      <c r="M93" s="25"/>
      <c r="N93" s="25"/>
      <c r="O93" s="25"/>
      <c r="P93" s="23"/>
      <c r="Q93" s="25"/>
      <c r="R93" s="4"/>
      <c r="S93" s="38"/>
      <c r="T93" s="51"/>
      <c r="U93" s="51"/>
      <c r="V93" s="51"/>
      <c r="W93" s="51"/>
      <c r="X93" s="51"/>
      <c r="Y93" s="51"/>
      <c r="Z93" s="51"/>
    </row>
    <row r="94" spans="1:26" ht="20.100000000000001" customHeight="1">
      <c r="A94" s="23"/>
      <c r="B94" s="27"/>
      <c r="C94" s="23"/>
      <c r="D94" s="23"/>
      <c r="E94" s="61"/>
      <c r="F94" s="61"/>
      <c r="G94" s="61"/>
      <c r="H94" s="23"/>
      <c r="I94" s="23"/>
      <c r="J94" s="25"/>
      <c r="K94" s="23"/>
      <c r="L94" s="25"/>
      <c r="M94" s="25"/>
      <c r="N94" s="25"/>
      <c r="O94" s="25"/>
      <c r="P94" s="23"/>
      <c r="Q94" s="25"/>
      <c r="R94" s="4"/>
      <c r="S94" s="38"/>
      <c r="T94" s="51"/>
      <c r="U94" s="51"/>
      <c r="V94" s="51"/>
      <c r="W94" s="51"/>
      <c r="X94" s="51"/>
      <c r="Y94" s="51"/>
      <c r="Z94" s="51"/>
    </row>
    <row r="95" spans="1:26" ht="20.100000000000001" customHeight="1">
      <c r="A95" s="23"/>
      <c r="B95" s="27"/>
      <c r="C95" s="23"/>
      <c r="D95" s="23"/>
      <c r="E95" s="61"/>
      <c r="F95" s="61"/>
      <c r="G95" s="61"/>
      <c r="H95" s="23"/>
      <c r="I95" s="23"/>
      <c r="J95" s="25"/>
      <c r="K95" s="23"/>
      <c r="L95" s="25"/>
      <c r="M95" s="25"/>
      <c r="N95" s="25"/>
      <c r="O95" s="25"/>
      <c r="P95" s="23"/>
      <c r="Q95" s="25"/>
      <c r="R95" s="4"/>
      <c r="S95" s="38"/>
      <c r="T95" s="51"/>
      <c r="U95" s="51"/>
      <c r="V95" s="51"/>
      <c r="W95" s="51"/>
      <c r="X95" s="51"/>
      <c r="Y95" s="51"/>
      <c r="Z95" s="51"/>
    </row>
    <row r="96" spans="1:26" ht="20.100000000000001" customHeight="1">
      <c r="A96" s="23"/>
      <c r="B96" s="27"/>
      <c r="C96" s="23"/>
      <c r="D96" s="23"/>
      <c r="E96" s="61"/>
      <c r="F96" s="61"/>
      <c r="G96" s="61"/>
      <c r="H96" s="23"/>
      <c r="I96" s="23"/>
      <c r="J96" s="25"/>
      <c r="K96" s="23"/>
      <c r="L96" s="25"/>
      <c r="M96" s="25"/>
      <c r="N96" s="25"/>
      <c r="O96" s="25"/>
      <c r="P96" s="23"/>
      <c r="Q96" s="25"/>
      <c r="R96" s="4"/>
      <c r="S96" s="38"/>
      <c r="T96" s="51"/>
      <c r="U96" s="51"/>
      <c r="V96" s="51"/>
      <c r="W96" s="51"/>
      <c r="X96" s="51"/>
      <c r="Y96" s="51"/>
      <c r="Z96" s="51"/>
    </row>
    <row r="97" spans="1:26" ht="20.100000000000001" customHeight="1">
      <c r="A97" s="23"/>
      <c r="B97" s="27"/>
      <c r="C97" s="23"/>
      <c r="D97" s="23"/>
      <c r="E97" s="61"/>
      <c r="F97" s="61"/>
      <c r="G97" s="61"/>
      <c r="H97" s="23"/>
      <c r="I97" s="23"/>
      <c r="J97" s="25"/>
      <c r="K97" s="23"/>
      <c r="L97" s="25"/>
      <c r="M97" s="25"/>
      <c r="N97" s="25"/>
      <c r="O97" s="25"/>
      <c r="P97" s="23"/>
      <c r="Q97" s="25"/>
      <c r="R97" s="4"/>
      <c r="S97" s="38"/>
      <c r="T97" s="51"/>
      <c r="U97" s="51"/>
      <c r="V97" s="51"/>
      <c r="W97" s="51"/>
      <c r="X97" s="51"/>
      <c r="Y97" s="51"/>
      <c r="Z97" s="51"/>
    </row>
    <row r="98" spans="1:26" ht="20.100000000000001" customHeight="1">
      <c r="A98" s="23"/>
      <c r="B98" s="27"/>
      <c r="C98" s="23"/>
      <c r="D98" s="23"/>
      <c r="E98" s="61"/>
      <c r="F98" s="61"/>
      <c r="G98" s="61"/>
      <c r="H98" s="23"/>
      <c r="I98" s="23"/>
      <c r="J98" s="25"/>
      <c r="K98" s="23"/>
      <c r="L98" s="25"/>
      <c r="M98" s="25"/>
      <c r="N98" s="25"/>
      <c r="O98" s="25"/>
      <c r="P98" s="23"/>
      <c r="Q98" s="25"/>
      <c r="R98" s="4"/>
      <c r="S98" s="38"/>
      <c r="T98" s="51"/>
      <c r="U98" s="51"/>
      <c r="V98" s="51"/>
      <c r="W98" s="51"/>
      <c r="X98" s="51"/>
      <c r="Y98" s="51"/>
      <c r="Z98" s="51"/>
    </row>
    <row r="99" spans="1:26" ht="20.100000000000001" customHeight="1">
      <c r="A99" s="23"/>
      <c r="B99" s="27"/>
      <c r="C99" s="23"/>
      <c r="D99" s="23"/>
      <c r="E99" s="61"/>
      <c r="F99" s="61"/>
      <c r="G99" s="61"/>
      <c r="H99" s="23"/>
      <c r="I99" s="23"/>
      <c r="J99" s="25"/>
      <c r="K99" s="23"/>
      <c r="L99" s="25"/>
      <c r="M99" s="25"/>
      <c r="N99" s="25"/>
      <c r="O99" s="25"/>
      <c r="P99" s="23"/>
      <c r="Q99" s="25"/>
      <c r="R99" s="4"/>
      <c r="S99" s="38"/>
      <c r="T99" s="51"/>
      <c r="U99" s="51"/>
      <c r="V99" s="51"/>
      <c r="W99" s="51"/>
      <c r="X99" s="51"/>
      <c r="Y99" s="51"/>
      <c r="Z99" s="51"/>
    </row>
    <row r="100" spans="1:26" ht="20.100000000000001" customHeight="1">
      <c r="A100" s="46"/>
      <c r="B100" s="8"/>
      <c r="C100" s="8"/>
      <c r="D100" s="8"/>
      <c r="E100" s="55"/>
      <c r="F100" s="55"/>
      <c r="G100" s="55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8"/>
      <c r="S100" s="55"/>
      <c r="T100" s="55"/>
      <c r="U100" s="55"/>
      <c r="V100" s="55"/>
      <c r="W100" s="55"/>
      <c r="X100" s="53"/>
      <c r="Y100" s="53"/>
      <c r="Z100" s="53"/>
    </row>
  </sheetData>
  <mergeCells count="67"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T5:T6"/>
    <mergeCell ref="T7:T8"/>
    <mergeCell ref="T9:T10"/>
    <mergeCell ref="S9:S10"/>
    <mergeCell ref="S5:S6"/>
    <mergeCell ref="S7:S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2" type="noConversion"/>
  <pageMargins left="0.7" right="0.7" top="0.75" bottom="0.75" header="0.3" footer="0.3"/>
  <pageSetup orientation="portrait" r:id="rId1"/>
  <ignoredErrors>
    <ignoredError sqref="E11:F11 F12:F13 E14:E15 G14:H14 P14:P16 F16 J16:J17 G17 N17 F18 H18 L18 P18 G19 J19 E20 P20:P21 F21 I21:I22 G22:G23 H23:H24 E24:E26 P24:P26 F25:F29 I25 N26 I27:I28 E29 H29 N29 P29 G30:G31 J30 E31:F31 F32 G33 E34:F35 G35:G36 I35 N35 P35 J36:K36 E37 I37:I38 K37:K38 F38:G38 F39 H39 G40 J40 T11:V11 T12:T24 U14:U15 V16 V18 U20 V21 U24 V25:V26 T26:U26 T27 T29:U29 T30:T40 U31:V31 V32 U34:V3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Data_Startup">
                <anchor moveWithCells="1">
                  <from>
                    <xdr:col>26</xdr:col>
                    <xdr:colOff>114300</xdr:colOff>
                    <xdr:row>2</xdr:row>
                    <xdr:rowOff>47625</xdr:rowOff>
                  </from>
                  <to>
                    <xdr:col>27</xdr:col>
                    <xdr:colOff>619125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tartupSheet">
                <anchor moveWithCells="1">
                  <from>
                    <xdr:col>26</xdr:col>
                    <xdr:colOff>123825</xdr:colOff>
                    <xdr:row>3</xdr:row>
                    <xdr:rowOff>228600</xdr:rowOff>
                  </from>
                  <to>
                    <xdr:col>27</xdr:col>
                    <xdr:colOff>619125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W58"/>
  <sheetViews>
    <sheetView tabSelected="1" zoomScaleNormal="100" workbookViewId="0">
      <selection activeCell="U24" sqref="U24"/>
    </sheetView>
  </sheetViews>
  <sheetFormatPr defaultColWidth="12.125" defaultRowHeight="16.5"/>
  <cols>
    <col min="1" max="1" width="4.875" style="20" bestFit="1" customWidth="1"/>
    <col min="2" max="2" width="7.375" style="20" bestFit="1" customWidth="1"/>
    <col min="3" max="3" width="7.75" style="20" bestFit="1" customWidth="1"/>
    <col min="4" max="4" width="36.375" style="20" customWidth="1"/>
    <col min="5" max="7" width="5.625" style="71" customWidth="1"/>
    <col min="8" max="9" width="6.125" style="20" customWidth="1"/>
    <col min="10" max="17" width="5.625" style="20" customWidth="1"/>
    <col min="18" max="18" width="7.875" style="71" customWidth="1"/>
    <col min="19" max="19" width="36.375" style="20" bestFit="1" customWidth="1"/>
    <col min="20" max="20" width="4.625" style="19" customWidth="1"/>
    <col min="21" max="21" width="7" style="71" customWidth="1"/>
    <col min="22" max="16384" width="12.125" style="20"/>
  </cols>
  <sheetData>
    <row r="5" spans="1:21">
      <c r="A5" s="126" t="s">
        <v>0</v>
      </c>
      <c r="B5" s="126" t="s">
        <v>1</v>
      </c>
      <c r="C5" s="126" t="s">
        <v>2</v>
      </c>
      <c r="D5" s="126" t="s">
        <v>22</v>
      </c>
      <c r="E5" s="128" t="s">
        <v>4</v>
      </c>
      <c r="F5" s="129"/>
      <c r="G5" s="130"/>
      <c r="H5" s="131" t="s">
        <v>5</v>
      </c>
      <c r="I5" s="131" t="s">
        <v>6</v>
      </c>
      <c r="J5" s="131" t="s">
        <v>7</v>
      </c>
      <c r="K5" s="131" t="s">
        <v>8</v>
      </c>
      <c r="L5" s="131" t="s">
        <v>9</v>
      </c>
      <c r="M5" s="131" t="s">
        <v>10</v>
      </c>
      <c r="N5" s="131" t="s">
        <v>11</v>
      </c>
      <c r="O5" s="131" t="s">
        <v>12</v>
      </c>
      <c r="P5" s="131" t="s">
        <v>13</v>
      </c>
      <c r="Q5" s="131" t="s">
        <v>14</v>
      </c>
      <c r="R5" s="133" t="s">
        <v>15</v>
      </c>
      <c r="S5" s="131" t="s">
        <v>16</v>
      </c>
      <c r="U5" s="133" t="s">
        <v>23</v>
      </c>
    </row>
    <row r="6" spans="1:21">
      <c r="A6" s="127"/>
      <c r="B6" s="127"/>
      <c r="C6" s="127"/>
      <c r="D6" s="127"/>
      <c r="E6" s="64"/>
      <c r="F6" s="65"/>
      <c r="G6" s="64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4"/>
      <c r="S6" s="132"/>
      <c r="U6" s="134"/>
    </row>
    <row r="7" spans="1:21">
      <c r="A7" s="117" t="s">
        <v>15</v>
      </c>
      <c r="B7" s="118"/>
      <c r="C7" s="118"/>
      <c r="D7" s="119"/>
      <c r="E7" s="120">
        <f>EvalPower(E9:G9)</f>
        <v>128</v>
      </c>
      <c r="F7" s="121"/>
      <c r="G7" s="122"/>
      <c r="H7" s="123">
        <f>EvalMath(H10:H53)</f>
        <v>87</v>
      </c>
      <c r="I7" s="123">
        <f>EvalMath(I10:I53)</f>
        <v>4</v>
      </c>
      <c r="J7" s="123">
        <f>EvalMath(J10:J53)</f>
        <v>2</v>
      </c>
      <c r="K7" s="123">
        <f>EvalMath(K10:K53)</f>
        <v>13</v>
      </c>
      <c r="L7" s="123">
        <f>EvalMath(L10:L53)</f>
        <v>10</v>
      </c>
      <c r="M7" s="123">
        <f>EvalMath(M10:M53)</f>
        <v>2</v>
      </c>
      <c r="N7" s="123">
        <f>EvalMath(N10:N53)</f>
        <v>2</v>
      </c>
      <c r="O7" s="123">
        <f>EvalMath(O10:O53)</f>
        <v>2</v>
      </c>
      <c r="P7" s="123">
        <f>EvalMath(P10:P53)</f>
        <v>3</v>
      </c>
      <c r="Q7" s="123">
        <f>EvalMath(Q10:Q53)</f>
        <v>3</v>
      </c>
      <c r="R7" s="138">
        <f>EvalPower(R10:R53)</f>
        <v>38680</v>
      </c>
      <c r="S7" s="135"/>
      <c r="U7" s="72"/>
    </row>
    <row r="8" spans="1:21">
      <c r="A8" s="141" t="s">
        <v>28</v>
      </c>
      <c r="B8" s="142"/>
      <c r="C8" s="142"/>
      <c r="D8" s="143"/>
      <c r="E8" s="120">
        <f>EvalPower(E9:G9)</f>
        <v>128</v>
      </c>
      <c r="F8" s="121"/>
      <c r="G8" s="122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39"/>
      <c r="S8" s="136"/>
      <c r="U8" s="73"/>
    </row>
    <row r="9" spans="1:21">
      <c r="A9" s="144"/>
      <c r="B9" s="145"/>
      <c r="C9" s="145"/>
      <c r="D9" s="146"/>
      <c r="E9" s="47">
        <f>EvalPower(E10:E53)</f>
        <v>73</v>
      </c>
      <c r="F9" s="47">
        <f>EvalPower(F10:F53)</f>
        <v>47</v>
      </c>
      <c r="G9" s="47">
        <f>EvalPower(G10:G53)</f>
        <v>8</v>
      </c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40"/>
      <c r="S9" s="137"/>
      <c r="U9" s="74"/>
    </row>
    <row r="10" spans="1:21" ht="27">
      <c r="A10" s="29">
        <v>1</v>
      </c>
      <c r="B10" s="27" t="s">
        <v>55</v>
      </c>
      <c r="C10" s="23" t="s">
        <v>46</v>
      </c>
      <c r="D10" s="23" t="s">
        <v>54</v>
      </c>
      <c r="E10" s="156" t="s">
        <v>49</v>
      </c>
      <c r="F10" s="157" t="s">
        <v>47</v>
      </c>
      <c r="G10" s="157" t="s">
        <v>47</v>
      </c>
      <c r="H10" s="30"/>
      <c r="I10" s="30"/>
      <c r="J10" s="30"/>
      <c r="K10" s="30" t="s">
        <v>49</v>
      </c>
      <c r="L10" s="30"/>
      <c r="M10" s="30"/>
      <c r="N10" s="30"/>
      <c r="O10" s="30"/>
      <c r="P10" s="30"/>
      <c r="Q10" s="30"/>
      <c r="R10" s="75">
        <f>(EvalPower(E10:G10)*U10)</f>
        <v>246</v>
      </c>
      <c r="S10" s="29" t="s">
        <v>136</v>
      </c>
      <c r="U10" s="36" t="s">
        <v>109</v>
      </c>
    </row>
    <row r="11" spans="1:21">
      <c r="A11" s="29">
        <v>2</v>
      </c>
      <c r="B11" s="27" t="s">
        <v>55</v>
      </c>
      <c r="C11" s="23" t="s">
        <v>46</v>
      </c>
      <c r="D11" s="23" t="s">
        <v>58</v>
      </c>
      <c r="E11" s="156" t="s">
        <v>47</v>
      </c>
      <c r="F11" s="157" t="s">
        <v>47</v>
      </c>
      <c r="G11" s="157" t="s">
        <v>33</v>
      </c>
      <c r="H11" s="30"/>
      <c r="I11" s="30"/>
      <c r="J11" s="30" t="s">
        <v>33</v>
      </c>
      <c r="K11" s="30"/>
      <c r="L11" s="30"/>
      <c r="M11" s="30"/>
      <c r="N11" s="30"/>
      <c r="O11" s="30"/>
      <c r="P11" s="30"/>
      <c r="Q11" s="30"/>
      <c r="R11" s="75">
        <f t="shared" ref="R11:R18" si="0">(EvalPower(E11:G11)*U11)</f>
        <v>0</v>
      </c>
      <c r="S11" s="29" t="s">
        <v>137</v>
      </c>
      <c r="U11" s="37"/>
    </row>
    <row r="12" spans="1:21">
      <c r="A12" s="29">
        <v>3</v>
      </c>
      <c r="B12" s="27" t="s">
        <v>60</v>
      </c>
      <c r="C12" s="23" t="s">
        <v>46</v>
      </c>
      <c r="D12" s="23" t="s">
        <v>59</v>
      </c>
      <c r="E12" s="156" t="s">
        <v>47</v>
      </c>
      <c r="F12" s="157" t="s">
        <v>47</v>
      </c>
      <c r="G12" s="157" t="s">
        <v>43</v>
      </c>
      <c r="H12" s="30"/>
      <c r="I12" s="30"/>
      <c r="J12" s="30"/>
      <c r="K12" s="30" t="s">
        <v>43</v>
      </c>
      <c r="L12" s="30"/>
      <c r="M12" s="30"/>
      <c r="N12" s="30"/>
      <c r="O12" s="30"/>
      <c r="P12" s="30"/>
      <c r="Q12" s="30"/>
      <c r="R12" s="75">
        <f t="shared" si="0"/>
        <v>328</v>
      </c>
      <c r="S12" s="29" t="s">
        <v>137</v>
      </c>
      <c r="U12" s="37" t="s">
        <v>109</v>
      </c>
    </row>
    <row r="13" spans="1:21">
      <c r="A13" s="29">
        <v>4</v>
      </c>
      <c r="B13" s="27" t="s">
        <v>79</v>
      </c>
      <c r="C13" s="23" t="s">
        <v>80</v>
      </c>
      <c r="D13" s="23" t="s">
        <v>78</v>
      </c>
      <c r="E13" s="156" t="s">
        <v>47</v>
      </c>
      <c r="F13" s="157" t="s">
        <v>49</v>
      </c>
      <c r="G13" s="157" t="s">
        <v>47</v>
      </c>
      <c r="H13" s="30"/>
      <c r="I13" s="30"/>
      <c r="J13" s="30"/>
      <c r="K13" s="30"/>
      <c r="L13" s="30"/>
      <c r="M13" s="30"/>
      <c r="N13" s="39"/>
      <c r="O13" s="30"/>
      <c r="P13" s="30" t="s">
        <v>49</v>
      </c>
      <c r="Q13" s="30"/>
      <c r="R13" s="75">
        <f t="shared" si="0"/>
        <v>0</v>
      </c>
      <c r="S13" s="29" t="s">
        <v>138</v>
      </c>
      <c r="U13" s="37"/>
    </row>
    <row r="14" spans="1:21" ht="27">
      <c r="A14" s="29">
        <v>5</v>
      </c>
      <c r="B14" s="27" t="s">
        <v>82</v>
      </c>
      <c r="C14" s="23" t="s">
        <v>46</v>
      </c>
      <c r="D14" s="23" t="s">
        <v>81</v>
      </c>
      <c r="E14" s="156" t="s">
        <v>35</v>
      </c>
      <c r="F14" s="157" t="s">
        <v>47</v>
      </c>
      <c r="G14" s="157" t="s">
        <v>47</v>
      </c>
      <c r="H14" s="30"/>
      <c r="I14" s="30"/>
      <c r="J14" s="30"/>
      <c r="K14" s="30" t="s">
        <v>35</v>
      </c>
      <c r="L14" s="30"/>
      <c r="M14" s="30"/>
      <c r="N14" s="30"/>
      <c r="O14" s="30"/>
      <c r="P14" s="39"/>
      <c r="Q14" s="30"/>
      <c r="R14" s="75">
        <f t="shared" si="0"/>
        <v>738</v>
      </c>
      <c r="S14" s="29" t="s">
        <v>136</v>
      </c>
      <c r="U14" s="37" t="s">
        <v>116</v>
      </c>
    </row>
    <row r="15" spans="1:21" ht="27">
      <c r="A15" s="29">
        <v>6</v>
      </c>
      <c r="B15" s="27" t="s">
        <v>95</v>
      </c>
      <c r="C15" s="23" t="s">
        <v>69</v>
      </c>
      <c r="D15" s="23" t="s">
        <v>94</v>
      </c>
      <c r="E15" s="158" t="s">
        <v>43</v>
      </c>
      <c r="F15" s="159" t="s">
        <v>47</v>
      </c>
      <c r="G15" s="159" t="s">
        <v>47</v>
      </c>
      <c r="H15" s="57"/>
      <c r="I15" s="57" t="s">
        <v>125</v>
      </c>
      <c r="J15" s="31"/>
      <c r="K15" s="32"/>
      <c r="L15" s="33"/>
      <c r="M15" s="31"/>
      <c r="N15" s="31"/>
      <c r="O15" s="31"/>
      <c r="P15" s="31"/>
      <c r="Q15" s="31"/>
      <c r="R15" s="75">
        <f t="shared" si="0"/>
        <v>776</v>
      </c>
      <c r="S15" s="29" t="s">
        <v>139</v>
      </c>
      <c r="U15" s="37" t="s">
        <v>118</v>
      </c>
    </row>
    <row r="16" spans="1:21">
      <c r="A16" s="29">
        <v>7</v>
      </c>
      <c r="B16" s="49" t="s">
        <v>101</v>
      </c>
      <c r="C16" s="25" t="s">
        <v>102</v>
      </c>
      <c r="D16" s="25" t="s">
        <v>100</v>
      </c>
      <c r="E16" s="158" t="s">
        <v>132</v>
      </c>
      <c r="F16" s="159" t="s">
        <v>47</v>
      </c>
      <c r="G16" s="159" t="s">
        <v>47</v>
      </c>
      <c r="H16" s="57" t="s">
        <v>133</v>
      </c>
      <c r="I16" s="31"/>
      <c r="J16" s="57"/>
      <c r="K16" s="32"/>
      <c r="L16" s="33" t="s">
        <v>126</v>
      </c>
      <c r="M16" s="31"/>
      <c r="N16" s="31"/>
      <c r="O16" s="31"/>
      <c r="P16" s="31"/>
      <c r="Q16" s="31"/>
      <c r="R16" s="75">
        <f t="shared" si="0"/>
        <v>19380</v>
      </c>
      <c r="S16" s="29" t="s">
        <v>130</v>
      </c>
      <c r="U16" s="36" t="s">
        <v>120</v>
      </c>
    </row>
    <row r="17" spans="1:21" ht="27">
      <c r="A17" s="29">
        <v>8</v>
      </c>
      <c r="B17" s="49" t="s">
        <v>101</v>
      </c>
      <c r="C17" s="25" t="s">
        <v>102</v>
      </c>
      <c r="D17" s="25" t="s">
        <v>103</v>
      </c>
      <c r="E17" s="156" t="s">
        <v>47</v>
      </c>
      <c r="F17" s="157" t="s">
        <v>134</v>
      </c>
      <c r="G17" s="157" t="s">
        <v>33</v>
      </c>
      <c r="H17" s="30" t="s">
        <v>135</v>
      </c>
      <c r="I17" s="30"/>
      <c r="J17" s="30"/>
      <c r="K17" s="34"/>
      <c r="L17" s="34"/>
      <c r="M17" s="30"/>
      <c r="N17" s="30" t="s">
        <v>33</v>
      </c>
      <c r="O17" s="30"/>
      <c r="P17" s="29"/>
      <c r="Q17" s="30" t="s">
        <v>49</v>
      </c>
      <c r="R17" s="75">
        <f t="shared" si="0"/>
        <v>15960</v>
      </c>
      <c r="S17" s="29" t="s">
        <v>140</v>
      </c>
      <c r="U17" s="36" t="s">
        <v>121</v>
      </c>
    </row>
    <row r="18" spans="1:21">
      <c r="A18" s="29">
        <v>9</v>
      </c>
      <c r="B18" s="27" t="s">
        <v>105</v>
      </c>
      <c r="C18" s="23" t="s">
        <v>69</v>
      </c>
      <c r="D18" s="24" t="s">
        <v>104</v>
      </c>
      <c r="E18" s="156" t="s">
        <v>47</v>
      </c>
      <c r="F18" s="157" t="s">
        <v>43</v>
      </c>
      <c r="G18" s="157" t="s">
        <v>47</v>
      </c>
      <c r="H18" s="30"/>
      <c r="I18" s="30"/>
      <c r="J18" s="30"/>
      <c r="K18" s="34"/>
      <c r="L18" s="34"/>
      <c r="M18" s="30" t="s">
        <v>33</v>
      </c>
      <c r="N18" s="30"/>
      <c r="O18" s="30" t="s">
        <v>33</v>
      </c>
      <c r="P18" s="29"/>
      <c r="Q18" s="30"/>
      <c r="R18" s="75">
        <f t="shared" si="0"/>
        <v>1252</v>
      </c>
      <c r="S18" s="29" t="s">
        <v>137</v>
      </c>
      <c r="U18" s="36" t="s">
        <v>122</v>
      </c>
    </row>
    <row r="19" spans="1:21">
      <c r="A19" s="29"/>
      <c r="B19" s="23"/>
      <c r="C19" s="23"/>
      <c r="D19" s="24"/>
      <c r="E19" s="66"/>
      <c r="F19" s="67"/>
      <c r="G19" s="67"/>
      <c r="H19" s="30"/>
      <c r="I19" s="30"/>
      <c r="J19" s="30"/>
      <c r="K19" s="34"/>
      <c r="L19" s="34"/>
      <c r="M19" s="30"/>
      <c r="N19" s="30"/>
      <c r="O19" s="30"/>
      <c r="P19" s="29"/>
      <c r="Q19" s="30"/>
      <c r="R19" s="75"/>
      <c r="S19" s="29"/>
      <c r="U19" s="149"/>
    </row>
    <row r="20" spans="1:21">
      <c r="A20" s="29"/>
      <c r="B20" s="23"/>
      <c r="C20" s="23"/>
      <c r="D20" s="24"/>
      <c r="E20" s="68"/>
      <c r="F20" s="69"/>
      <c r="G20" s="69"/>
      <c r="H20" s="30"/>
      <c r="I20" s="30"/>
      <c r="J20" s="30"/>
      <c r="K20" s="29"/>
      <c r="L20" s="34"/>
      <c r="M20" s="30"/>
      <c r="N20" s="30"/>
      <c r="O20" s="30"/>
      <c r="P20" s="30"/>
      <c r="Q20" s="30"/>
      <c r="R20" s="75"/>
      <c r="S20" s="29"/>
      <c r="U20" s="149"/>
    </row>
    <row r="21" spans="1:21">
      <c r="A21" s="29"/>
      <c r="B21" s="27"/>
      <c r="C21" s="23"/>
      <c r="D21" s="23"/>
      <c r="E21" s="66"/>
      <c r="F21" s="67"/>
      <c r="G21" s="67"/>
      <c r="H21" s="30"/>
      <c r="I21" s="30"/>
      <c r="J21" s="30"/>
      <c r="K21" s="34"/>
      <c r="L21" s="34"/>
      <c r="M21" s="29"/>
      <c r="N21" s="30"/>
      <c r="O21" s="30"/>
      <c r="P21" s="30"/>
      <c r="Q21" s="30"/>
      <c r="R21" s="75"/>
      <c r="S21" s="29"/>
      <c r="U21" s="149"/>
    </row>
    <row r="22" spans="1:21">
      <c r="A22" s="29"/>
      <c r="B22" s="27"/>
      <c r="C22" s="23"/>
      <c r="D22" s="23"/>
      <c r="E22" s="66"/>
      <c r="F22" s="67"/>
      <c r="G22" s="67"/>
      <c r="H22" s="30"/>
      <c r="I22" s="30"/>
      <c r="J22" s="30"/>
      <c r="K22" s="34"/>
      <c r="L22" s="34"/>
      <c r="M22" s="30"/>
      <c r="N22" s="30"/>
      <c r="O22" s="30"/>
      <c r="P22" s="29"/>
      <c r="Q22" s="30"/>
      <c r="R22" s="75"/>
      <c r="S22" s="29"/>
      <c r="U22" s="149"/>
    </row>
    <row r="23" spans="1:21">
      <c r="A23" s="29"/>
      <c r="B23" s="27"/>
      <c r="C23" s="23"/>
      <c r="D23" s="23"/>
      <c r="E23" s="66"/>
      <c r="F23" s="67"/>
      <c r="G23" s="67"/>
      <c r="H23" s="30"/>
      <c r="I23" s="30"/>
      <c r="J23" s="29"/>
      <c r="K23" s="30"/>
      <c r="L23" s="30"/>
      <c r="M23" s="30"/>
      <c r="N23" s="30"/>
      <c r="O23" s="30"/>
      <c r="P23" s="30"/>
      <c r="Q23" s="30"/>
      <c r="R23" s="75"/>
      <c r="S23" s="30"/>
      <c r="U23" s="39"/>
    </row>
    <row r="24" spans="1:21">
      <c r="A24" s="29"/>
      <c r="B24" s="27"/>
      <c r="C24" s="23"/>
      <c r="D24" s="23"/>
      <c r="E24" s="66"/>
      <c r="F24" s="67"/>
      <c r="G24" s="67"/>
      <c r="H24" s="30"/>
      <c r="I24" s="30"/>
      <c r="J24" s="29"/>
      <c r="K24" s="30"/>
      <c r="L24" s="30"/>
      <c r="M24" s="30"/>
      <c r="N24" s="30"/>
      <c r="O24" s="30"/>
      <c r="P24" s="30"/>
      <c r="Q24" s="30"/>
      <c r="R24" s="75"/>
      <c r="S24" s="30"/>
      <c r="U24" s="39"/>
    </row>
    <row r="25" spans="1:21">
      <c r="A25" s="29"/>
      <c r="B25" s="27"/>
      <c r="C25" s="23"/>
      <c r="D25" s="23"/>
      <c r="E25" s="66"/>
      <c r="F25" s="67"/>
      <c r="G25" s="67"/>
      <c r="H25" s="30"/>
      <c r="I25" s="30"/>
      <c r="J25" s="29"/>
      <c r="K25" s="30"/>
      <c r="L25" s="30"/>
      <c r="M25" s="30"/>
      <c r="N25" s="30"/>
      <c r="O25" s="30"/>
      <c r="P25" s="30"/>
      <c r="Q25" s="30"/>
      <c r="R25" s="75"/>
      <c r="S25" s="30"/>
      <c r="U25" s="39"/>
    </row>
    <row r="26" spans="1:21">
      <c r="A26" s="29"/>
      <c r="B26" s="27"/>
      <c r="C26" s="23"/>
      <c r="D26" s="23"/>
      <c r="E26" s="66"/>
      <c r="F26" s="67"/>
      <c r="G26" s="67"/>
      <c r="H26" s="30"/>
      <c r="I26" s="30"/>
      <c r="J26" s="29"/>
      <c r="K26" s="30"/>
      <c r="L26" s="30"/>
      <c r="M26" s="30"/>
      <c r="N26" s="30"/>
      <c r="O26" s="30"/>
      <c r="P26" s="30"/>
      <c r="Q26" s="30"/>
      <c r="R26" s="75"/>
      <c r="S26" s="30"/>
      <c r="U26" s="39"/>
    </row>
    <row r="27" spans="1:21">
      <c r="A27" s="29"/>
      <c r="B27" s="27"/>
      <c r="C27" s="23"/>
      <c r="D27" s="35"/>
      <c r="E27" s="66"/>
      <c r="F27" s="67"/>
      <c r="G27" s="67"/>
      <c r="H27" s="30"/>
      <c r="I27" s="30"/>
      <c r="J27" s="29"/>
      <c r="K27" s="30"/>
      <c r="L27" s="30"/>
      <c r="M27" s="30"/>
      <c r="N27" s="30"/>
      <c r="O27" s="30"/>
      <c r="P27" s="30"/>
      <c r="Q27" s="30"/>
      <c r="R27" s="75"/>
      <c r="S27" s="30"/>
      <c r="U27" s="39"/>
    </row>
    <row r="28" spans="1:21">
      <c r="A28" s="29"/>
      <c r="B28" s="27"/>
      <c r="C28" s="23"/>
      <c r="D28" s="35"/>
      <c r="E28" s="66"/>
      <c r="F28" s="67"/>
      <c r="G28" s="67"/>
      <c r="H28" s="30"/>
      <c r="I28" s="30"/>
      <c r="J28" s="29"/>
      <c r="K28" s="30"/>
      <c r="L28" s="30"/>
      <c r="M28" s="30"/>
      <c r="N28" s="30"/>
      <c r="O28" s="30"/>
      <c r="P28" s="30"/>
      <c r="Q28" s="30"/>
      <c r="R28" s="75"/>
      <c r="S28" s="30"/>
      <c r="U28" s="39"/>
    </row>
    <row r="29" spans="1:21">
      <c r="A29" s="29"/>
      <c r="B29" s="27"/>
      <c r="C29" s="23"/>
      <c r="D29" s="35"/>
      <c r="E29" s="66"/>
      <c r="F29" s="67"/>
      <c r="G29" s="67"/>
      <c r="H29" s="30"/>
      <c r="I29" s="30"/>
      <c r="J29" s="29"/>
      <c r="K29" s="30"/>
      <c r="L29" s="30"/>
      <c r="M29" s="30"/>
      <c r="N29" s="30"/>
      <c r="O29" s="30"/>
      <c r="P29" s="30"/>
      <c r="Q29" s="30"/>
      <c r="R29" s="75"/>
      <c r="S29" s="30"/>
      <c r="U29" s="39"/>
    </row>
    <row r="30" spans="1:21">
      <c r="A30" s="29"/>
      <c r="B30" s="27"/>
      <c r="C30" s="23"/>
      <c r="D30" s="35"/>
      <c r="E30" s="66"/>
      <c r="F30" s="67"/>
      <c r="G30" s="67"/>
      <c r="H30" s="30"/>
      <c r="I30" s="30"/>
      <c r="J30" s="29"/>
      <c r="K30" s="30"/>
      <c r="L30" s="30"/>
      <c r="M30" s="30"/>
      <c r="N30" s="30"/>
      <c r="O30" s="30"/>
      <c r="P30" s="30"/>
      <c r="Q30" s="30"/>
      <c r="R30" s="75"/>
      <c r="S30" s="30"/>
      <c r="U30" s="39"/>
    </row>
    <row r="31" spans="1:21">
      <c r="A31" s="29"/>
      <c r="B31" s="27"/>
      <c r="C31" s="23"/>
      <c r="D31" s="35"/>
      <c r="E31" s="66"/>
      <c r="F31" s="67"/>
      <c r="G31" s="67"/>
      <c r="H31" s="30"/>
      <c r="I31" s="30"/>
      <c r="J31" s="29"/>
      <c r="K31" s="30"/>
      <c r="L31" s="30"/>
      <c r="M31" s="30"/>
      <c r="N31" s="30"/>
      <c r="O31" s="30"/>
      <c r="P31" s="30"/>
      <c r="Q31" s="30"/>
      <c r="R31" s="75"/>
      <c r="S31" s="30"/>
      <c r="U31" s="39"/>
    </row>
    <row r="32" spans="1:21">
      <c r="A32" s="29"/>
      <c r="B32" s="27"/>
      <c r="C32" s="23"/>
      <c r="D32" s="35"/>
      <c r="E32" s="66"/>
      <c r="F32" s="67"/>
      <c r="G32" s="67"/>
      <c r="H32" s="30"/>
      <c r="I32" s="30"/>
      <c r="J32" s="29"/>
      <c r="K32" s="30"/>
      <c r="L32" s="30"/>
      <c r="M32" s="30"/>
      <c r="N32" s="30"/>
      <c r="O32" s="30"/>
      <c r="P32" s="30"/>
      <c r="Q32" s="30"/>
      <c r="R32" s="75"/>
      <c r="S32" s="30"/>
      <c r="U32" s="39"/>
    </row>
    <row r="33" spans="1:21">
      <c r="A33" s="29"/>
      <c r="B33" s="27"/>
      <c r="C33" s="23"/>
      <c r="D33" s="35"/>
      <c r="E33" s="66"/>
      <c r="F33" s="67"/>
      <c r="G33" s="67"/>
      <c r="H33" s="30"/>
      <c r="I33" s="30"/>
      <c r="J33" s="29"/>
      <c r="K33" s="30"/>
      <c r="L33" s="30"/>
      <c r="M33" s="30"/>
      <c r="N33" s="30"/>
      <c r="O33" s="30"/>
      <c r="P33" s="30"/>
      <c r="Q33" s="30"/>
      <c r="R33" s="75"/>
      <c r="S33" s="30"/>
      <c r="U33" s="39"/>
    </row>
    <row r="34" spans="1:21">
      <c r="A34" s="29"/>
      <c r="B34" s="27"/>
      <c r="C34" s="23"/>
      <c r="D34" s="35"/>
      <c r="E34" s="66"/>
      <c r="F34" s="67"/>
      <c r="G34" s="67"/>
      <c r="H34" s="30"/>
      <c r="I34" s="30"/>
      <c r="J34" s="29"/>
      <c r="K34" s="30"/>
      <c r="L34" s="30"/>
      <c r="M34" s="30"/>
      <c r="N34" s="30"/>
      <c r="O34" s="30"/>
      <c r="P34" s="30"/>
      <c r="Q34" s="30"/>
      <c r="R34" s="75"/>
      <c r="S34" s="30"/>
      <c r="U34" s="39"/>
    </row>
    <row r="35" spans="1:21">
      <c r="A35" s="29"/>
      <c r="B35" s="27"/>
      <c r="C35" s="23"/>
      <c r="D35" s="35"/>
      <c r="E35" s="66"/>
      <c r="F35" s="67"/>
      <c r="G35" s="67"/>
      <c r="H35" s="30"/>
      <c r="I35" s="30"/>
      <c r="J35" s="29"/>
      <c r="K35" s="30"/>
      <c r="L35" s="30"/>
      <c r="M35" s="30"/>
      <c r="N35" s="30"/>
      <c r="O35" s="30"/>
      <c r="P35" s="30"/>
      <c r="Q35" s="30"/>
      <c r="R35" s="75"/>
      <c r="S35" s="30"/>
      <c r="U35" s="39"/>
    </row>
    <row r="36" spans="1:21">
      <c r="A36" s="29"/>
      <c r="B36" s="27"/>
      <c r="C36" s="23"/>
      <c r="D36" s="35"/>
      <c r="E36" s="66"/>
      <c r="F36" s="67"/>
      <c r="G36" s="67"/>
      <c r="H36" s="30"/>
      <c r="I36" s="30"/>
      <c r="J36" s="29"/>
      <c r="K36" s="30"/>
      <c r="L36" s="30"/>
      <c r="M36" s="30"/>
      <c r="N36" s="30"/>
      <c r="O36" s="30"/>
      <c r="P36" s="30"/>
      <c r="Q36" s="30"/>
      <c r="R36" s="75"/>
      <c r="S36" s="30"/>
      <c r="U36" s="39"/>
    </row>
    <row r="37" spans="1:21">
      <c r="A37" s="29"/>
      <c r="B37" s="27"/>
      <c r="C37" s="23"/>
      <c r="D37" s="35"/>
      <c r="E37" s="66"/>
      <c r="F37" s="67"/>
      <c r="G37" s="67"/>
      <c r="H37" s="30"/>
      <c r="I37" s="30"/>
      <c r="J37" s="29"/>
      <c r="K37" s="30"/>
      <c r="L37" s="30"/>
      <c r="M37" s="30"/>
      <c r="N37" s="30"/>
      <c r="O37" s="30"/>
      <c r="P37" s="30"/>
      <c r="Q37" s="30"/>
      <c r="R37" s="75"/>
      <c r="S37" s="30"/>
      <c r="U37" s="39"/>
    </row>
    <row r="38" spans="1:21">
      <c r="A38" s="29"/>
      <c r="B38" s="27"/>
      <c r="C38" s="23"/>
      <c r="D38" s="35"/>
      <c r="E38" s="66"/>
      <c r="F38" s="67"/>
      <c r="G38" s="67"/>
      <c r="H38" s="30"/>
      <c r="I38" s="30"/>
      <c r="J38" s="29"/>
      <c r="K38" s="30"/>
      <c r="L38" s="30"/>
      <c r="M38" s="30"/>
      <c r="N38" s="30"/>
      <c r="O38" s="30"/>
      <c r="P38" s="30"/>
      <c r="Q38" s="30"/>
      <c r="R38" s="75"/>
      <c r="S38" s="30"/>
      <c r="U38" s="39"/>
    </row>
    <row r="39" spans="1:21">
      <c r="A39" s="29"/>
      <c r="B39" s="27"/>
      <c r="C39" s="23"/>
      <c r="D39" s="35"/>
      <c r="E39" s="66"/>
      <c r="F39" s="67"/>
      <c r="G39" s="67"/>
      <c r="H39" s="30"/>
      <c r="I39" s="30"/>
      <c r="J39" s="29"/>
      <c r="K39" s="30"/>
      <c r="L39" s="30"/>
      <c r="M39" s="30"/>
      <c r="N39" s="30"/>
      <c r="O39" s="30"/>
      <c r="P39" s="30"/>
      <c r="Q39" s="30"/>
      <c r="R39" s="75"/>
      <c r="S39" s="30"/>
      <c r="U39" s="39"/>
    </row>
    <row r="40" spans="1:21">
      <c r="A40" s="29"/>
      <c r="B40" s="27"/>
      <c r="C40" s="23"/>
      <c r="D40" s="35"/>
      <c r="E40" s="66"/>
      <c r="F40" s="67"/>
      <c r="G40" s="67"/>
      <c r="H40" s="30"/>
      <c r="I40" s="30"/>
      <c r="J40" s="29"/>
      <c r="K40" s="30"/>
      <c r="L40" s="30"/>
      <c r="M40" s="30"/>
      <c r="N40" s="30"/>
      <c r="O40" s="30"/>
      <c r="P40" s="30"/>
      <c r="Q40" s="30"/>
      <c r="R40" s="75"/>
      <c r="S40" s="30"/>
      <c r="U40" s="39"/>
    </row>
    <row r="41" spans="1:21">
      <c r="A41" s="29"/>
      <c r="B41" s="27"/>
      <c r="C41" s="23"/>
      <c r="D41" s="35"/>
      <c r="E41" s="66"/>
      <c r="F41" s="67"/>
      <c r="G41" s="67"/>
      <c r="H41" s="30"/>
      <c r="I41" s="30"/>
      <c r="J41" s="29"/>
      <c r="K41" s="30"/>
      <c r="L41" s="30"/>
      <c r="M41" s="30"/>
      <c r="N41" s="30"/>
      <c r="O41" s="30"/>
      <c r="P41" s="30"/>
      <c r="Q41" s="30"/>
      <c r="R41" s="75"/>
      <c r="S41" s="30"/>
      <c r="U41" s="39"/>
    </row>
    <row r="42" spans="1:21">
      <c r="A42" s="29"/>
      <c r="B42" s="27"/>
      <c r="C42" s="23"/>
      <c r="D42" s="35"/>
      <c r="E42" s="66"/>
      <c r="F42" s="67"/>
      <c r="G42" s="67"/>
      <c r="H42" s="30"/>
      <c r="I42" s="30"/>
      <c r="J42" s="29"/>
      <c r="K42" s="30"/>
      <c r="L42" s="30"/>
      <c r="M42" s="30"/>
      <c r="N42" s="30"/>
      <c r="O42" s="30"/>
      <c r="P42" s="30"/>
      <c r="Q42" s="30"/>
      <c r="R42" s="75"/>
      <c r="S42" s="30"/>
      <c r="U42" s="39"/>
    </row>
    <row r="43" spans="1:21">
      <c r="A43" s="29"/>
      <c r="B43" s="27"/>
      <c r="C43" s="23"/>
      <c r="D43" s="23"/>
      <c r="E43" s="66"/>
      <c r="F43" s="67"/>
      <c r="G43" s="67"/>
      <c r="H43" s="30"/>
      <c r="I43" s="30"/>
      <c r="J43" s="29"/>
      <c r="K43" s="30"/>
      <c r="L43" s="30"/>
      <c r="M43" s="30"/>
      <c r="N43" s="30"/>
      <c r="O43" s="30"/>
      <c r="P43" s="30"/>
      <c r="Q43" s="30"/>
      <c r="R43" s="51"/>
      <c r="S43" s="30"/>
      <c r="U43" s="39"/>
    </row>
    <row r="44" spans="1:21">
      <c r="A44" s="29"/>
      <c r="B44" s="27"/>
      <c r="C44" s="23"/>
      <c r="D44" s="23"/>
      <c r="E44" s="66"/>
      <c r="F44" s="67"/>
      <c r="G44" s="67"/>
      <c r="H44" s="30"/>
      <c r="I44" s="30"/>
      <c r="J44" s="29"/>
      <c r="K44" s="30"/>
      <c r="L44" s="30"/>
      <c r="M44" s="30"/>
      <c r="N44" s="30"/>
      <c r="O44" s="30"/>
      <c r="P44" s="30"/>
      <c r="Q44" s="30"/>
      <c r="R44" s="51"/>
      <c r="S44" s="30"/>
      <c r="U44" s="39"/>
    </row>
    <row r="45" spans="1:21">
      <c r="A45" s="29"/>
      <c r="B45" s="27"/>
      <c r="C45" s="23"/>
      <c r="D45" s="23"/>
      <c r="E45" s="66"/>
      <c r="F45" s="67"/>
      <c r="G45" s="67"/>
      <c r="H45" s="30"/>
      <c r="I45" s="30"/>
      <c r="J45" s="29"/>
      <c r="K45" s="30"/>
      <c r="L45" s="30"/>
      <c r="M45" s="30"/>
      <c r="N45" s="30"/>
      <c r="O45" s="30"/>
      <c r="P45" s="30"/>
      <c r="Q45" s="30"/>
      <c r="R45" s="51"/>
      <c r="S45" s="30"/>
      <c r="U45" s="39"/>
    </row>
    <row r="46" spans="1:21">
      <c r="A46" s="29"/>
      <c r="B46" s="27"/>
      <c r="C46" s="23"/>
      <c r="D46" s="23"/>
      <c r="E46" s="66"/>
      <c r="F46" s="67"/>
      <c r="G46" s="67"/>
      <c r="H46" s="30"/>
      <c r="I46" s="30"/>
      <c r="J46" s="29"/>
      <c r="K46" s="30"/>
      <c r="L46" s="30"/>
      <c r="M46" s="30"/>
      <c r="N46" s="30"/>
      <c r="O46" s="30"/>
      <c r="P46" s="30"/>
      <c r="Q46" s="30"/>
      <c r="R46" s="51"/>
      <c r="S46" s="30"/>
      <c r="U46" s="39"/>
    </row>
    <row r="47" spans="1:21">
      <c r="A47" s="29"/>
      <c r="B47" s="27"/>
      <c r="C47" s="23"/>
      <c r="D47" s="23"/>
      <c r="E47" s="66"/>
      <c r="F47" s="67"/>
      <c r="G47" s="67"/>
      <c r="H47" s="30"/>
      <c r="I47" s="30"/>
      <c r="J47" s="29"/>
      <c r="K47" s="30"/>
      <c r="L47" s="30"/>
      <c r="M47" s="30"/>
      <c r="N47" s="30"/>
      <c r="O47" s="30"/>
      <c r="P47" s="30"/>
      <c r="Q47" s="30"/>
      <c r="R47" s="51"/>
      <c r="S47" s="30"/>
      <c r="U47" s="39"/>
    </row>
    <row r="48" spans="1:21">
      <c r="A48" s="29"/>
      <c r="B48" s="27"/>
      <c r="C48" s="23"/>
      <c r="D48" s="23"/>
      <c r="E48" s="66"/>
      <c r="F48" s="67"/>
      <c r="G48" s="67"/>
      <c r="H48" s="30"/>
      <c r="I48" s="30"/>
      <c r="J48" s="29"/>
      <c r="K48" s="30"/>
      <c r="L48" s="30"/>
      <c r="M48" s="30"/>
      <c r="N48" s="30"/>
      <c r="O48" s="30"/>
      <c r="P48" s="30"/>
      <c r="Q48" s="30"/>
      <c r="R48" s="51"/>
      <c r="S48" s="30"/>
      <c r="U48" s="39"/>
    </row>
    <row r="49" spans="1:23">
      <c r="A49" s="29"/>
      <c r="B49" s="27"/>
      <c r="C49" s="23"/>
      <c r="D49" s="23"/>
      <c r="E49" s="66"/>
      <c r="F49" s="67"/>
      <c r="G49" s="67"/>
      <c r="H49" s="30"/>
      <c r="I49" s="30"/>
      <c r="J49" s="29"/>
      <c r="K49" s="30"/>
      <c r="L49" s="30"/>
      <c r="M49" s="30"/>
      <c r="N49" s="30"/>
      <c r="O49" s="30"/>
      <c r="P49" s="30"/>
      <c r="Q49" s="30"/>
      <c r="R49" s="51"/>
      <c r="S49" s="30"/>
      <c r="U49" s="39"/>
    </row>
    <row r="50" spans="1:23">
      <c r="A50" s="29"/>
      <c r="B50" s="27"/>
      <c r="C50" s="23"/>
      <c r="D50" s="23"/>
      <c r="E50" s="66"/>
      <c r="F50" s="67"/>
      <c r="G50" s="67"/>
      <c r="H50" s="30"/>
      <c r="I50" s="30"/>
      <c r="J50" s="29"/>
      <c r="K50" s="30"/>
      <c r="L50" s="30"/>
      <c r="M50" s="30"/>
      <c r="N50" s="30"/>
      <c r="O50" s="30"/>
      <c r="P50" s="30"/>
      <c r="Q50" s="30"/>
      <c r="R50" s="51"/>
      <c r="S50" s="30"/>
      <c r="U50" s="39"/>
    </row>
    <row r="51" spans="1:23">
      <c r="A51" s="29"/>
      <c r="B51" s="27"/>
      <c r="C51" s="23"/>
      <c r="D51" s="23"/>
      <c r="E51" s="66"/>
      <c r="F51" s="67"/>
      <c r="G51" s="67"/>
      <c r="H51" s="30"/>
      <c r="I51" s="30"/>
      <c r="J51" s="29"/>
      <c r="K51" s="30"/>
      <c r="L51" s="30"/>
      <c r="M51" s="30"/>
      <c r="N51" s="30"/>
      <c r="O51" s="30"/>
      <c r="P51" s="30"/>
      <c r="Q51" s="30"/>
      <c r="R51" s="51"/>
      <c r="S51" s="30"/>
      <c r="U51" s="39"/>
    </row>
    <row r="52" spans="1:23">
      <c r="A52" s="29"/>
      <c r="B52" s="27"/>
      <c r="C52" s="23"/>
      <c r="D52" s="23"/>
      <c r="E52" s="66"/>
      <c r="F52" s="67"/>
      <c r="G52" s="67"/>
      <c r="H52" s="30"/>
      <c r="I52" s="30"/>
      <c r="J52" s="29"/>
      <c r="K52" s="30"/>
      <c r="L52" s="30"/>
      <c r="M52" s="30"/>
      <c r="N52" s="30"/>
      <c r="O52" s="30"/>
      <c r="P52" s="30"/>
      <c r="Q52" s="30"/>
      <c r="R52" s="51"/>
      <c r="S52" s="30"/>
      <c r="U52" s="39"/>
    </row>
    <row r="53" spans="1:23">
      <c r="A53" s="6"/>
      <c r="B53" s="2"/>
      <c r="C53" s="1"/>
      <c r="D53" s="1"/>
      <c r="E53" s="66"/>
      <c r="F53" s="67"/>
      <c r="G53" s="67"/>
      <c r="H53" s="18"/>
      <c r="I53" s="18"/>
      <c r="J53" s="6"/>
      <c r="K53" s="18"/>
      <c r="L53" s="18"/>
      <c r="M53" s="18"/>
      <c r="N53" s="18"/>
      <c r="O53" s="18"/>
      <c r="P53" s="18"/>
      <c r="Q53" s="18"/>
      <c r="R53" s="51"/>
      <c r="S53" s="18"/>
      <c r="U53" s="39"/>
    </row>
    <row r="54" spans="1:23">
      <c r="A54" s="6"/>
      <c r="B54" s="2"/>
      <c r="C54" s="1"/>
      <c r="D54" s="1"/>
      <c r="E54" s="66"/>
      <c r="F54" s="67"/>
      <c r="G54" s="67"/>
      <c r="H54" s="18"/>
      <c r="I54" s="18"/>
      <c r="J54" s="6"/>
      <c r="K54" s="18"/>
      <c r="L54" s="18"/>
      <c r="M54" s="18"/>
      <c r="N54" s="18"/>
      <c r="O54" s="18"/>
      <c r="P54" s="18"/>
      <c r="Q54" s="18"/>
      <c r="R54" s="51"/>
      <c r="S54" s="18"/>
      <c r="U54" s="39"/>
    </row>
    <row r="55" spans="1:23" ht="20.25">
      <c r="A55" s="7"/>
      <c r="B55" s="7"/>
      <c r="C55" s="7"/>
      <c r="D55" s="7"/>
      <c r="E55" s="70"/>
      <c r="F55" s="70"/>
      <c r="G55" s="70"/>
      <c r="H55" s="7"/>
      <c r="I55" s="7"/>
      <c r="J55" s="7"/>
      <c r="K55" s="7"/>
      <c r="L55" s="7"/>
      <c r="M55" s="7"/>
      <c r="N55" s="7"/>
      <c r="O55" s="7"/>
      <c r="P55" s="7"/>
      <c r="Q55" s="7"/>
      <c r="R55" s="70"/>
      <c r="S55" s="7"/>
      <c r="T55" s="7"/>
      <c r="U55" s="70"/>
      <c r="V55" s="19"/>
      <c r="W55" s="19"/>
    </row>
    <row r="57" spans="1:23">
      <c r="R57" s="51"/>
    </row>
    <row r="58" spans="1:23">
      <c r="R58" s="51"/>
    </row>
  </sheetData>
  <mergeCells count="34">
    <mergeCell ref="S7:S9"/>
    <mergeCell ref="U5:U6"/>
    <mergeCell ref="Q5:Q6"/>
    <mergeCell ref="D5:D6"/>
    <mergeCell ref="C5:C6"/>
    <mergeCell ref="O7:O9"/>
    <mergeCell ref="P7:P9"/>
    <mergeCell ref="Q7:Q9"/>
    <mergeCell ref="R7:R9"/>
    <mergeCell ref="I7:I9"/>
    <mergeCell ref="J7:J9"/>
    <mergeCell ref="K7:K9"/>
    <mergeCell ref="L7:L9"/>
    <mergeCell ref="M7:M9"/>
    <mergeCell ref="N7:N9"/>
    <mergeCell ref="A8:D9"/>
    <mergeCell ref="S5:S6"/>
    <mergeCell ref="R5:R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A7:D7"/>
    <mergeCell ref="E7:G7"/>
    <mergeCell ref="E8:G8"/>
    <mergeCell ref="H7:H9"/>
    <mergeCell ref="B5:B6"/>
    <mergeCell ref="A5:A6"/>
    <mergeCell ref="E5:G5"/>
  </mergeCells>
  <pageMargins left="0.7" right="0.7" top="0.75" bottom="0.75" header="0.3" footer="0.3"/>
  <pageSetup orientation="portrait" r:id="rId1"/>
  <ignoredErrors>
    <ignoredError sqref="E10 K10 U10 G11:G12 J11 K12 U12 F13 P13 E14:E16 K14 U14:U18 H16:H17 L16 F17:G17 N17 Q17 F18 M18 O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18</xdr:col>
                    <xdr:colOff>2571750</xdr:colOff>
                    <xdr:row>0</xdr:row>
                    <xdr:rowOff>85725</xdr:rowOff>
                  </from>
                  <to>
                    <xdr:col>20</xdr:col>
                    <xdr:colOff>523875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18</xdr:col>
                    <xdr:colOff>2562225</xdr:colOff>
                    <xdr:row>1</xdr:row>
                    <xdr:rowOff>190500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/>
  </sheetViews>
  <sheetFormatPr defaultColWidth="9.125" defaultRowHeight="14.25"/>
  <cols>
    <col min="1" max="1" width="17.875" style="9" customWidth="1"/>
    <col min="2" max="2" width="24.125" style="11" customWidth="1"/>
    <col min="3" max="3" width="36" style="9" customWidth="1"/>
    <col min="4" max="16384" width="9.125" style="9"/>
  </cols>
  <sheetData>
    <row r="1" spans="1:5">
      <c r="A1" s="22"/>
    </row>
    <row r="2" spans="1:5" ht="123.75" customHeight="1" thickBot="1"/>
    <row r="3" spans="1:5" ht="24.95" customHeight="1">
      <c r="B3" s="147" t="s">
        <v>29</v>
      </c>
      <c r="C3" s="148"/>
    </row>
    <row r="4" spans="1:5" ht="24.95" customHeight="1">
      <c r="B4" s="12" t="s">
        <v>26</v>
      </c>
      <c r="C4" s="21" t="s">
        <v>37</v>
      </c>
      <c r="D4" s="10"/>
      <c r="E4" s="10"/>
    </row>
    <row r="5" spans="1:5" ht="24.95" customHeight="1">
      <c r="B5" s="12" t="s">
        <v>27</v>
      </c>
      <c r="C5" s="21" t="s">
        <v>30</v>
      </c>
    </row>
    <row r="6" spans="1:5">
      <c r="B6" s="13"/>
      <c r="C6" s="14"/>
    </row>
    <row r="7" spans="1:5">
      <c r="B7" s="13"/>
      <c r="C7" s="14"/>
    </row>
    <row r="8" spans="1:5" ht="15" thickBot="1">
      <c r="B8" s="15"/>
      <c r="C8" s="16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Startup</vt:lpstr>
      <vt:lpstr>Process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dcterms:created xsi:type="dcterms:W3CDTF">2025-09-09T11:13:22Z</dcterms:created>
  <dcterms:modified xsi:type="dcterms:W3CDTF">2025-09-19T15:58:48Z</dcterms:modified>
  <cp:category/>
  <cp:contentStatus/>
</cp:coreProperties>
</file>