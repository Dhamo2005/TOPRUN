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Morning meeting report template\"/>
    </mc:Choice>
  </mc:AlternateContent>
  <bookViews>
    <workbookView xWindow="0" yWindow="0" windowWidth="21600" windowHeight="9480" tabRatio="652" firstSheet="1" activeTab="4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</sheets>
  <functionGroups builtInGroupCount="18"/>
  <definedNames>
    <definedName name="_xlnm._FilterDatabase" localSheetId="1" hidden="1">Startup!$A$4:$AA$80</definedName>
    <definedName name="_xleta.SUM" hidden="1" xlm="1">#NAME?</definedName>
    <definedName name="_xleta.TEXT" hidden="1" xlm="1">#NAME?</definedName>
    <definedName name="Startup">Startup!$A$5:$W$198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2" i="1" l="1"/>
  <c r="Z13" i="1"/>
  <c r="Z14" i="1"/>
  <c r="Z15" i="1"/>
  <c r="Z16" i="1"/>
  <c r="Z17" i="1"/>
  <c r="Z18" i="1"/>
  <c r="Y12" i="1"/>
  <c r="Y13" i="1"/>
  <c r="Y14" i="1"/>
  <c r="Y15" i="1"/>
  <c r="Y16" i="1"/>
  <c r="Y17" i="1"/>
  <c r="Y18" i="1"/>
  <c r="X12" i="1"/>
  <c r="X13" i="1"/>
  <c r="X14" i="1"/>
  <c r="X15" i="1"/>
  <c r="X16" i="1"/>
  <c r="X17" i="1"/>
  <c r="X18" i="1"/>
  <c r="R12" i="1"/>
  <c r="R13" i="1"/>
  <c r="R14" i="1"/>
  <c r="R15" i="1"/>
  <c r="R16" i="1"/>
  <c r="R17" i="1"/>
  <c r="R18" i="1"/>
  <c r="AA17" i="1"/>
  <c r="AA12" i="1"/>
  <c r="F9" i="2"/>
  <c r="AA27" i="1"/>
  <c r="AA32" i="1"/>
  <c r="Z11" i="1" l="1"/>
  <c r="Y11" i="1"/>
  <c r="X11" i="1"/>
  <c r="AA115" i="1"/>
  <c r="AA126" i="1"/>
  <c r="AA111" i="1"/>
  <c r="AA116" i="1"/>
  <c r="AA105" i="1"/>
  <c r="AA107" i="1"/>
  <c r="AA117" i="1"/>
  <c r="AA106" i="1"/>
  <c r="AA123" i="1"/>
  <c r="AA112" i="1"/>
  <c r="AA128" i="1"/>
  <c r="AA119" i="1"/>
  <c r="AA120" i="1"/>
  <c r="AA125" i="1"/>
  <c r="AA124" i="1"/>
  <c r="AA113" i="1"/>
  <c r="AA110" i="1"/>
  <c r="AA127" i="1"/>
  <c r="AA103" i="1"/>
  <c r="AA102" i="1"/>
  <c r="AA108" i="1"/>
  <c r="AA118" i="1"/>
  <c r="AA104" i="1"/>
  <c r="AA121" i="1"/>
  <c r="AA114" i="1"/>
  <c r="AA122" i="1"/>
  <c r="AA109" i="1"/>
  <c r="M7" i="2"/>
  <c r="E9" i="2"/>
  <c r="Q7" i="2"/>
  <c r="L7" i="2"/>
  <c r="O7" i="2"/>
  <c r="N7" i="2"/>
  <c r="K7" i="2"/>
  <c r="H7" i="2"/>
  <c r="R10" i="2"/>
  <c r="P7" i="2"/>
  <c r="I7" i="2"/>
  <c r="J7" i="2"/>
  <c r="G9" i="2"/>
  <c r="AA52" i="1"/>
  <c r="AA13" i="1"/>
  <c r="AA47" i="1"/>
  <c r="AA46" i="1"/>
  <c r="AA42" i="1"/>
  <c r="AA23" i="1"/>
  <c r="Q7" i="1"/>
  <c r="AA41" i="1"/>
  <c r="AA24" i="1"/>
  <c r="P7" i="1"/>
  <c r="AA30" i="1"/>
  <c r="AA77" i="1"/>
  <c r="AA86" i="1"/>
  <c r="AA94" i="1"/>
  <c r="AA85" i="1"/>
  <c r="AA90" i="1"/>
  <c r="AA100" i="1"/>
  <c r="AA98" i="1"/>
  <c r="L7" i="1"/>
  <c r="AA96" i="1"/>
  <c r="J7" i="1"/>
  <c r="AA97" i="1"/>
  <c r="AA75" i="1"/>
  <c r="R11" i="1"/>
  <c r="AA79" i="1"/>
  <c r="AA36" i="1"/>
  <c r="AA55" i="1"/>
  <c r="AA91" i="1"/>
  <c r="AA35" i="1"/>
  <c r="AA21" i="1"/>
  <c r="AA31" i="1"/>
  <c r="AA99" i="1"/>
  <c r="AA93" i="1"/>
  <c r="AA25" i="1"/>
  <c r="AA82" i="1"/>
  <c r="AA89" i="1"/>
  <c r="AA78" i="1"/>
  <c r="AA11" i="1"/>
  <c r="AA22" i="1"/>
  <c r="K7" i="1"/>
  <c r="AA80" i="1"/>
  <c r="AA19" i="1"/>
  <c r="AA34" i="1"/>
  <c r="I7" i="1"/>
  <c r="AA18" i="1"/>
  <c r="AA95" i="1"/>
  <c r="AA14" i="1"/>
  <c r="O7" i="1"/>
  <c r="AA26" i="1"/>
  <c r="AA84" i="1"/>
  <c r="AA28" i="1"/>
  <c r="AA54" i="1"/>
  <c r="AA20" i="1"/>
  <c r="AA56" i="1"/>
  <c r="AA87" i="1"/>
  <c r="AA38" i="1"/>
  <c r="AA59" i="1"/>
  <c r="AA83" i="1"/>
  <c r="AA33" i="1"/>
  <c r="N7" i="1"/>
  <c r="AA16" i="1"/>
  <c r="AA45" i="1"/>
  <c r="AA53" i="1"/>
  <c r="AA29" i="1"/>
  <c r="AA39" i="1"/>
  <c r="AA76" i="1"/>
  <c r="AA15" i="1"/>
  <c r="AA92" i="1"/>
  <c r="M7" i="1"/>
  <c r="AA40" i="1"/>
  <c r="H7" i="1"/>
  <c r="AA81" i="1"/>
  <c r="AA101" i="1"/>
  <c r="AA88" i="1"/>
  <c r="AA37" i="1"/>
  <c r="B2" i="4" l="1"/>
  <c r="E8" i="2"/>
  <c r="R7" i="2"/>
  <c r="E7" i="2"/>
  <c r="AA64" i="1"/>
  <c r="AA61" i="1"/>
  <c r="AA51" i="1"/>
  <c r="AA43" i="1"/>
  <c r="AA70" i="1"/>
  <c r="AA65" i="1"/>
  <c r="AA58" i="1"/>
  <c r="AA57" i="1"/>
  <c r="AA67" i="1"/>
  <c r="AA49" i="1"/>
  <c r="AA50" i="1"/>
  <c r="AA71" i="1"/>
  <c r="AA62" i="1"/>
  <c r="AA73" i="1"/>
  <c r="AA44" i="1"/>
  <c r="AA60" i="1"/>
  <c r="AA48" i="1"/>
  <c r="AA63" i="1"/>
  <c r="AA66" i="1"/>
  <c r="AA68" i="1"/>
  <c r="AA72" i="1"/>
  <c r="AA69" i="1"/>
  <c r="C13" i="4" l="1"/>
  <c r="C14" i="4" l="1"/>
  <c r="C12" i="4"/>
  <c r="Y7" i="1"/>
  <c r="U7" i="1"/>
  <c r="Z7" i="1"/>
  <c r="V7" i="1"/>
  <c r="X7" i="1"/>
  <c r="W7" i="1"/>
  <c r="E10" i="1" l="1"/>
  <c r="G10" i="1"/>
  <c r="F10" i="1"/>
  <c r="C9" i="4"/>
  <c r="D9" i="4"/>
  <c r="E8" i="1"/>
  <c r="G8" i="1"/>
  <c r="E9" i="1"/>
  <c r="R9" i="1"/>
  <c r="F8" i="1"/>
  <c r="C7" i="4" l="1"/>
  <c r="C11" i="4"/>
  <c r="C8" i="4"/>
  <c r="C6" i="4"/>
  <c r="D11" i="4"/>
  <c r="R7" i="1"/>
  <c r="E7" i="1"/>
  <c r="C5" i="4" l="1"/>
  <c r="C10" i="4"/>
  <c r="D5" i="4"/>
  <c r="D8" i="4" s="1"/>
  <c r="D10" i="4"/>
  <c r="D6" i="4" l="1"/>
  <c r="D7" i="4"/>
</calcChain>
</file>

<file path=xl/sharedStrings.xml><?xml version="1.0" encoding="utf-8"?>
<sst xmlns="http://schemas.openxmlformats.org/spreadsheetml/2006/main" count="127" uniqueCount="74">
  <si>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</si>
  <si>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</si>
  <si>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</si>
  <si>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</si>
  <si>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</si>
  <si>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</si>
  <si>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</si>
  <si>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</si>
  <si>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</si>
  <si>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</si>
  <si>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</si>
  <si>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</si>
  <si>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</si>
  <si>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</si>
  <si>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</si>
  <si>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</si>
  <si>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</si>
  <si>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</si>
  <si>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</si>
  <si>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</si>
  <si>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</si>
  <si>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</si>
  <si>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</si>
  <si>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</si>
  <si>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</si>
  <si>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</si>
  <si>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</si>
  <si>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</si>
  <si>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</si>
  <si>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</si>
  <si>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>POWER CUT COST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</si>
  <si>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</si>
  <si>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</si>
  <si>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</si>
  <si>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</si>
  <si>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</si>
  <si>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</si>
  <si>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</si>
  <si>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</si>
  <si>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</si>
  <si>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</si>
  <si>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</si>
  <si>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</si>
  <si>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</si>
  <si>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</si>
  <si>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6</t>
  </si>
  <si>
    <t>2</t>
  </si>
  <si>
    <t>3</t>
  </si>
  <si>
    <t/>
  </si>
  <si>
    <t>220-1</t>
  </si>
  <si>
    <t>220-2</t>
  </si>
  <si>
    <t>2000-1</t>
  </si>
  <si>
    <t>1800-1</t>
  </si>
  <si>
    <t>5</t>
  </si>
  <si>
    <t>1050-2</t>
  </si>
  <si>
    <t>01.11.2025</t>
  </si>
  <si>
    <t>C:\Users\Lenovo\Desktop\NOV 2025\MORNING MEETING REPORT\01.11.2025.pptx</t>
  </si>
  <si>
    <t>SU2i</t>
  </si>
  <si>
    <t>PNL-CRASH PAD CTR LWR RHD T9Y</t>
  </si>
  <si>
    <t>Ai3PE</t>
  </si>
  <si>
    <t>KNOB ASSY-FRT SEAT H/ADJ,RH NNB</t>
  </si>
  <si>
    <t>0</t>
  </si>
  <si>
    <t>Ai3</t>
  </si>
  <si>
    <t>3+3</t>
  </si>
  <si>
    <t>LEVER ASSY FRT SEAT H/ADJ RH T9Y</t>
  </si>
  <si>
    <t>LEVER ASSY-FR SEAT HGT_ADJM, RH NNB</t>
  </si>
  <si>
    <t>QXi</t>
  </si>
  <si>
    <t>HOUSING-GLOVE BOX RHD-YPK</t>
  </si>
  <si>
    <t>TRIM-LUGG SIDE W/O SPKR,RH</t>
  </si>
  <si>
    <t>SU2iPE</t>
  </si>
  <si>
    <t>INVENTORY MATERIAL CHANGE TIME</t>
  </si>
  <si>
    <t>PNL FR DR MAIN TRIM LH/RH YGN</t>
  </si>
  <si>
    <t>TRIM LUGG SIDE LH  STD W/O SPKR RDE</t>
  </si>
  <si>
    <t>PS7iPE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</si>
</sst>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8"/>
      <color theme="1"/>
      <name val="Malgun Gothic"/>
      <family val="2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4"/>
      <color rgb="FFFF0000"/>
      <name val="Aptos Narrow"/>
    </font>
    <font>
      <b/>
      <sz val="14"/>
      <color rgb="FF008000"/>
      <name val="Aptos Narrow"/>
    </font>
    <font>
      <b/>
      <sz val="12"/>
      <color rgb="FF0000FF"/>
      <name val="Aptos Narrow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</fonts>
  <fills count="8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39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</borders>
  <cellStyleXfs count="2">
    <xf numFmtId="0" fontId="0" fillId="0" borderId="0"/>
    <xf numFmtId="0" fontId="8" fillId="0" borderId="0"/>
  </cellStyleXfs>
  <cellXfs count="166">
    <xf numFmtId="0" fontId="0" fillId="0" borderId="0" xfId="0"/>
    <xf numFmtId="0" fontId="1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3" fillId="0" borderId="0" xfId="0" applyFont="1"/>
    <xf numFmtId="0" fontId="3" fillId="0" borderId="0" xfId="0" applyFont="1" applyAlignment="1">
      <alignment horizontal="center"/>
    </xf>
    <xf numFmtId="0" fontId="6" fillId="0" borderId="15" xfId="0" applyFont="1" applyBorder="1" applyAlignment="1">
      <alignment horizontal="center" vertical="center" wrapText="1" readingOrder="1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10" fillId="5" borderId="27" xfId="0" applyFont="1" applyFill="1" applyBorder="1" applyAlignment="1">
      <alignment horizontal="right" vertical="center"/>
    </xf>
    <xf numFmtId="0" fontId="0" fillId="5" borderId="27" xfId="0" applyFill="1" applyBorder="1" applyAlignment="1">
      <alignment horizontal="right"/>
    </xf>
    <xf numFmtId="0" fontId="0" fillId="5" borderId="28" xfId="0" applyFill="1" applyBorder="1"/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4" fillId="0" borderId="1" xfId="0" applyFont="1" applyBorder="1" applyAlignment="1">
      <alignment horizontal="center" vertical="center" wrapText="1" readingOrder="1"/>
    </xf>
    <xf numFmtId="0" fontId="17" fillId="0" borderId="0" xfId="0" applyFont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1" fillId="0" borderId="1" xfId="0" applyNumberFormat="1" applyFont="1" applyBorder="1" applyAlignment="1">
      <alignment horizontal="center" vertical="center" wrapText="1" readingOrder="1"/>
    </xf>
    <xf numFmtId="49" fontId="4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49" fontId="6" fillId="0" borderId="15" xfId="0" applyNumberFormat="1" applyFont="1" applyBorder="1" applyAlignment="1">
      <alignment horizontal="center" vertical="center" wrapText="1" readingOrder="1"/>
    </xf>
    <xf numFmtId="49" fontId="15" fillId="0" borderId="15" xfId="0" applyNumberFormat="1" applyFont="1" applyBorder="1" applyAlignment="1">
      <alignment horizontal="center" vertical="center" wrapText="1" readingOrder="1"/>
    </xf>
    <xf numFmtId="0" fontId="1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/>
    <xf numFmtId="0" fontId="5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 applyAlignment="1">
      <alignment horizontal="center" vertical="center"/>
    </xf>
    <xf numFmtId="16" fontId="3" fillId="0" borderId="0" xfId="0" quotePrefix="1" applyNumberFormat="1" applyFont="1"/>
    <xf numFmtId="0" fontId="2" fillId="2" borderId="1" xfId="0" applyNumberFormat="1" applyFont="1" applyFill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1" fillId="0" borderId="4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/>
    <xf numFmtId="0" fontId="6" fillId="3" borderId="18" xfId="0" applyNumberFormat="1" applyFont="1" applyFill="1" applyBorder="1" applyAlignment="1">
      <alignment horizontal="center" vertical="center" wrapText="1" readingOrder="1"/>
    </xf>
    <xf numFmtId="0" fontId="6" fillId="3" borderId="15" xfId="0" applyNumberFormat="1" applyFont="1" applyFill="1" applyBorder="1" applyAlignment="1">
      <alignment horizontal="center" vertical="center" wrapText="1" readingOrder="1"/>
    </xf>
    <xf numFmtId="0" fontId="17" fillId="0" borderId="0" xfId="0" applyNumberFormat="1" applyFont="1"/>
    <xf numFmtId="49" fontId="6" fillId="3" borderId="18" xfId="0" applyNumberFormat="1" applyFont="1" applyFill="1" applyBorder="1" applyAlignment="1">
      <alignment horizontal="center" vertical="center" wrapText="1" readingOrder="1"/>
    </xf>
    <xf numFmtId="49" fontId="6" fillId="3" borderId="15" xfId="0" applyNumberFormat="1" applyFont="1" applyFill="1" applyBorder="1" applyAlignment="1">
      <alignment horizontal="center" vertical="center" wrapText="1" readingOrder="1"/>
    </xf>
    <xf numFmtId="0" fontId="2" fillId="2" borderId="15" xfId="0" applyNumberFormat="1" applyFont="1" applyFill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0" fontId="6" fillId="3" borderId="18" xfId="0" applyFont="1" applyFill="1" applyBorder="1" applyAlignment="1">
      <alignment horizontal="center" vertical="center" wrapText="1" readingOrder="1"/>
    </xf>
    <xf numFmtId="0" fontId="6" fillId="3" borderId="15" xfId="0" applyFont="1" applyFill="1" applyBorder="1" applyAlignment="1">
      <alignment horizontal="center" vertical="center" wrapText="1" readingOrder="1"/>
    </xf>
    <xf numFmtId="49" fontId="3" fillId="0" borderId="0" xfId="0" applyNumberFormat="1" applyFont="1" applyAlignment="1">
      <alignment horizontal="center" vertical="center" readingOrder="1"/>
    </xf>
    <xf numFmtId="0" fontId="17" fillId="0" borderId="0" xfId="0" applyFont="1" applyAlignment="1">
      <alignment horizontal="center" vertical="center" readingOrder="1"/>
    </xf>
    <xf numFmtId="49" fontId="17" fillId="0" borderId="0" xfId="0" applyNumberFormat="1" applyFont="1" applyAlignment="1">
      <alignment horizontal="center" vertical="center" readingOrder="1"/>
    </xf>
    <xf numFmtId="0" fontId="11" fillId="4" borderId="8" xfId="0" applyFont="1" applyFill="1" applyBorder="1" applyAlignment="1">
      <alignment horizontal="center" vertical="center" readingOrder="1"/>
    </xf>
    <xf numFmtId="0" fontId="11" fillId="4" borderId="8" xfId="0" applyNumberFormat="1" applyFont="1" applyFill="1" applyBorder="1" applyAlignment="1">
      <alignment horizontal="center" vertical="center" readingOrder="1"/>
    </xf>
    <xf numFmtId="0" fontId="17" fillId="0" borderId="0" xfId="0" applyNumberFormat="1" applyFont="1" applyAlignment="1">
      <alignment horizontal="center" vertical="center" readingOrder="1"/>
    </xf>
    <xf numFmtId="14" fontId="22" fillId="6" borderId="33" xfId="0" applyNumberFormat="1" applyFont="1" applyFill="1" applyBorder="1" applyAlignment="1">
      <alignment horizontal="center" vertical="center" wrapText="1" readingOrder="1"/>
    </xf>
    <xf numFmtId="0" fontId="22" fillId="6" borderId="33" xfId="0" applyFont="1" applyFill="1" applyBorder="1" applyAlignment="1">
      <alignment horizontal="center" vertical="center" wrapText="1" readingOrder="1"/>
    </xf>
    <xf numFmtId="0" fontId="23" fillId="0" borderId="33" xfId="0" applyFont="1" applyBorder="1" applyAlignment="1">
      <alignment horizontal="center" vertical="center" wrapText="1" readingOrder="1"/>
    </xf>
    <xf numFmtId="0" fontId="21" fillId="0" borderId="0" xfId="0" applyNumberFormat="1" applyFont="1"/>
    <xf numFmtId="0" fontId="23" fillId="7" borderId="33" xfId="0" applyFont="1" applyFill="1" applyBorder="1" applyAlignment="1">
      <alignment horizontal="center" vertical="center" wrapText="1" readingOrder="1"/>
    </xf>
    <xf numFmtId="0" fontId="24" fillId="0" borderId="3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1" fillId="2" borderId="2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 readingOrder="1"/>
    </xf>
    <xf numFmtId="0" fontId="16" fillId="0" borderId="0" xfId="0" applyFont="1" applyAlignment="1"/>
    <xf numFmtId="49" fontId="15" fillId="0" borderId="18" xfId="0" applyNumberFormat="1" applyFont="1" applyBorder="1" applyAlignment="1">
      <alignment horizontal="center" vertical="center" wrapText="1" readingOrder="1"/>
    </xf>
    <xf numFmtId="49" fontId="15" fillId="0" borderId="20" xfId="0" applyNumberFormat="1" applyFont="1" applyBorder="1" applyAlignment="1">
      <alignment horizontal="center" vertical="center" wrapText="1" readingOrder="1"/>
    </xf>
    <xf numFmtId="49" fontId="15" fillId="0" borderId="16" xfId="0" applyNumberFormat="1" applyFont="1" applyBorder="1" applyAlignment="1">
      <alignment horizontal="center" vertical="center" wrapText="1" readingOrder="1"/>
    </xf>
    <xf numFmtId="49" fontId="15" fillId="0" borderId="17" xfId="0" applyNumberFormat="1" applyFont="1" applyBorder="1" applyAlignment="1">
      <alignment horizontal="center" vertical="center" wrapText="1" readingOrder="1"/>
    </xf>
    <xf numFmtId="49" fontId="15" fillId="0" borderId="0" xfId="0" applyNumberFormat="1" applyFont="1" applyBorder="1" applyAlignment="1">
      <alignment horizontal="center" vertical="center" wrapText="1" readingOrder="1"/>
    </xf>
    <xf numFmtId="0" fontId="17" fillId="0" borderId="0" xfId="0" applyFont="1" applyBorder="1" applyAlignment="1">
      <alignment horizontal="center" vertical="center" readingOrder="1"/>
    </xf>
    <xf numFmtId="0" fontId="14" fillId="0" borderId="0" xfId="0" applyFont="1" applyBorder="1" applyAlignment="1">
      <alignment horizontal="center" vertical="center" wrapText="1" readingOrder="1"/>
    </xf>
    <xf numFmtId="0" fontId="16" fillId="0" borderId="0" xfId="0" applyFont="1" applyBorder="1" applyAlignment="1"/>
    <xf numFmtId="49" fontId="5" fillId="0" borderId="0" xfId="0" applyNumberFormat="1" applyFont="1" applyBorder="1" applyAlignment="1">
      <alignment horizontal="center" vertical="center" wrapText="1" readingOrder="1"/>
    </xf>
    <xf numFmtId="0" fontId="14" fillId="0" borderId="0" xfId="0" applyNumberFormat="1" applyFont="1" applyBorder="1" applyAlignment="1">
      <alignment horizontal="center" vertical="center" wrapText="1" readingOrder="1"/>
    </xf>
    <xf numFmtId="49" fontId="7" fillId="0" borderId="0" xfId="0" applyNumberFormat="1" applyFont="1" applyBorder="1" applyAlignment="1">
      <alignment horizontal="center" vertical="center" wrapText="1" readingOrder="1"/>
    </xf>
    <xf numFmtId="0" fontId="15" fillId="0" borderId="0" xfId="0" applyNumberFormat="1" applyFont="1" applyBorder="1" applyAlignment="1">
      <alignment horizontal="center" vertical="center" wrapText="1" readingOrder="1"/>
    </xf>
    <xf numFmtId="0" fontId="7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1" fillId="4" borderId="0" xfId="0" applyNumberFormat="1" applyFont="1" applyFill="1" applyBorder="1" applyAlignment="1">
      <alignment horizontal="center" vertical="center" readingOrder="1"/>
    </xf>
    <xf numFmtId="0" fontId="16" fillId="0" borderId="0" xfId="0" applyFont="1" applyBorder="1" applyAlignment="1">
      <alignment horizontal="center" vertical="center" readingOrder="1"/>
    </xf>
    <xf numFmtId="0" fontId="17" fillId="0" borderId="0" xfId="0" applyNumberFormat="1" applyFont="1" applyBorder="1" applyAlignment="1">
      <alignment horizontal="center" vertical="center" readingOrder="1"/>
    </xf>
    <xf numFmtId="49" fontId="1" fillId="0" borderId="19" xfId="0" applyNumberFormat="1" applyFont="1" applyBorder="1" applyAlignment="1">
      <alignment horizontal="center" vertical="center" wrapText="1" readingOrder="1"/>
    </xf>
    <xf numFmtId="49" fontId="1" fillId="0" borderId="5" xfId="0" applyNumberFormat="1" applyFont="1" applyBorder="1" applyAlignment="1">
      <alignment horizontal="center" vertical="center" wrapText="1" readingOrder="1"/>
    </xf>
    <xf numFmtId="49" fontId="6" fillId="0" borderId="19" xfId="0" applyNumberFormat="1" applyFont="1" applyBorder="1" applyAlignment="1">
      <alignment horizontal="center" vertical="center" wrapText="1" readingOrder="1"/>
    </xf>
    <xf numFmtId="49" fontId="15" fillId="0" borderId="19" xfId="0" applyNumberFormat="1" applyFont="1" applyBorder="1" applyAlignment="1">
      <alignment horizontal="center" vertical="center" wrapText="1" readingOrder="1"/>
    </xf>
    <xf numFmtId="0" fontId="15" fillId="0" borderId="19" xfId="0" applyFont="1" applyBorder="1" applyAlignment="1">
      <alignment horizontal="center" vertical="center" wrapText="1" readingOrder="1"/>
    </xf>
    <xf numFmtId="0" fontId="17" fillId="0" borderId="0" xfId="0" applyFont="1" applyBorder="1"/>
    <xf numFmtId="49" fontId="2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/>
    </xf>
    <xf numFmtId="49" fontId="11" fillId="4" borderId="8" xfId="0" applyNumberFormat="1" applyFont="1" applyFill="1" applyBorder="1" applyAlignment="1">
      <alignment horizontal="center" vertical="center" readingOrder="1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9" fillId="0" borderId="11" xfId="0" applyNumberFormat="1" applyFont="1" applyBorder="1" applyAlignment="1">
      <alignment horizontal="center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>
      <alignment horizontal="center" vertical="center" wrapText="1"/>
    </xf>
    <xf numFmtId="0" fontId="5" fillId="0" borderId="2" xfId="0" applyNumberFormat="1" applyFont="1" applyBorder="1" applyAlignment="1">
      <alignment horizontal="center" vertical="center" wrapText="1" readingOrder="1"/>
    </xf>
    <xf numFmtId="0" fontId="5" fillId="0" borderId="3" xfId="0" applyNumberFormat="1" applyFont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0" fontId="2" fillId="2" borderId="3" xfId="0" applyNumberFormat="1" applyFont="1" applyFill="1" applyBorder="1" applyAlignment="1">
      <alignment horizontal="center" vertical="center" wrapText="1" readingOrder="1"/>
    </xf>
    <xf numFmtId="0" fontId="14" fillId="0" borderId="2" xfId="0" applyNumberFormat="1" applyFont="1" applyBorder="1" applyAlignment="1">
      <alignment horizontal="center" vertical="center" wrapText="1" readingOrder="1"/>
    </xf>
    <xf numFmtId="0" fontId="1" fillId="0" borderId="2" xfId="0" applyNumberFormat="1" applyFont="1" applyBorder="1" applyAlignment="1">
      <alignment horizontal="center" vertical="center" wrapText="1" readingOrder="1"/>
    </xf>
    <xf numFmtId="0" fontId="1" fillId="0" borderId="3" xfId="0" applyNumberFormat="1" applyFont="1" applyBorder="1" applyAlignment="1">
      <alignment horizontal="center" vertical="center" wrapText="1" readingOrder="1"/>
    </xf>
    <xf numFmtId="0" fontId="3" fillId="0" borderId="2" xfId="0" applyNumberFormat="1" applyFont="1" applyBorder="1" applyAlignment="1">
      <alignment horizontal="center" wrapText="1"/>
    </xf>
    <xf numFmtId="0" fontId="3" fillId="0" borderId="3" xfId="0" applyNumberFormat="1" applyFont="1" applyBorder="1" applyAlignment="1">
      <alignment horizontal="center" wrapText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 wrapText="1" readingOrder="1"/>
    </xf>
    <xf numFmtId="0" fontId="5" fillId="0" borderId="3" xfId="0" applyFont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NumberFormat="1" applyFont="1" applyFill="1" applyBorder="1" applyAlignment="1">
      <alignment horizontal="center" vertical="center" wrapText="1" readingOrder="1"/>
    </xf>
    <xf numFmtId="0" fontId="1" fillId="3" borderId="11" xfId="0" applyNumberFormat="1" applyFont="1" applyFill="1" applyBorder="1" applyAlignment="1">
      <alignment horizontal="center" vertical="center" wrapText="1" readingOrder="1"/>
    </xf>
    <xf numFmtId="0" fontId="1" fillId="3" borderId="12" xfId="0" applyNumberFormat="1" applyFont="1" applyFill="1" applyBorder="1" applyAlignment="1">
      <alignment horizontal="center" vertical="center" wrapText="1" readingOrder="1"/>
    </xf>
    <xf numFmtId="0" fontId="2" fillId="2" borderId="7" xfId="0" applyNumberFormat="1" applyFont="1" applyFill="1" applyBorder="1" applyAlignment="1">
      <alignment horizontal="center" vertical="center" wrapText="1" readingOrder="1"/>
    </xf>
    <xf numFmtId="0" fontId="2" fillId="2" borderId="8" xfId="0" applyNumberFormat="1" applyFont="1" applyFill="1" applyBorder="1" applyAlignment="1">
      <alignment horizontal="center" vertical="center" wrapText="1" readingOrder="1"/>
    </xf>
    <xf numFmtId="0" fontId="2" fillId="2" borderId="9" xfId="0" applyNumberFormat="1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NumberFormat="1" applyFont="1" applyFill="1" applyBorder="1" applyAlignment="1">
      <alignment horizontal="center" vertical="center" wrapText="1" readingOrder="1"/>
    </xf>
    <xf numFmtId="0" fontId="1" fillId="3" borderId="5" xfId="0" applyNumberFormat="1" applyFont="1" applyFill="1" applyBorder="1" applyAlignment="1">
      <alignment horizontal="center" vertical="center" wrapText="1" readingOrder="1"/>
    </xf>
    <xf numFmtId="0" fontId="1" fillId="3" borderId="6" xfId="0" applyNumberFormat="1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 readingOrder="1"/>
    </xf>
    <xf numFmtId="0" fontId="2" fillId="2" borderId="17" xfId="0" applyFont="1" applyFill="1" applyBorder="1" applyAlignment="1">
      <alignment horizontal="center" vertical="center" wrapText="1" readingOrder="1"/>
    </xf>
    <xf numFmtId="0" fontId="2" fillId="2" borderId="22" xfId="0" applyFont="1" applyFill="1" applyBorder="1" applyAlignment="1">
      <alignment horizontal="center" vertical="center" wrapText="1" readingOrder="1"/>
    </xf>
    <xf numFmtId="0" fontId="2" fillId="2" borderId="23" xfId="0" applyFont="1" applyFill="1" applyBorder="1" applyAlignment="1">
      <alignment horizontal="center" vertical="center" wrapText="1" readingOrder="1"/>
    </xf>
    <xf numFmtId="0" fontId="2" fillId="2" borderId="24" xfId="0" applyFont="1" applyFill="1" applyBorder="1" applyAlignment="1">
      <alignment horizontal="center" vertical="center" wrapText="1" readingOrder="1"/>
    </xf>
    <xf numFmtId="0" fontId="2" fillId="2" borderId="31" xfId="0" applyFont="1" applyFill="1" applyBorder="1" applyAlignment="1">
      <alignment horizontal="center" vertical="center" wrapText="1" readingOrder="1"/>
    </xf>
    <xf numFmtId="0" fontId="2" fillId="2" borderId="32" xfId="0" applyFont="1" applyFill="1" applyBorder="1" applyAlignment="1">
      <alignment horizontal="center" vertical="center" wrapText="1" readingOrder="1"/>
    </xf>
    <xf numFmtId="0" fontId="1" fillId="2" borderId="16" xfId="0" applyFont="1" applyFill="1" applyBorder="1" applyAlignment="1">
      <alignment horizontal="center" vertical="center" wrapText="1" readingOrder="1"/>
    </xf>
    <xf numFmtId="0" fontId="1" fillId="2" borderId="17" xfId="0" applyFont="1" applyFill="1" applyBorder="1" applyAlignment="1">
      <alignment horizontal="center" vertical="center" wrapText="1" readingOrder="1"/>
    </xf>
    <xf numFmtId="0" fontId="2" fillId="2" borderId="18" xfId="0" applyFont="1" applyFill="1" applyBorder="1" applyAlignment="1">
      <alignment horizontal="center" vertical="center" wrapText="1" readingOrder="1"/>
    </xf>
    <xf numFmtId="0" fontId="2" fillId="2" borderId="19" xfId="0" applyFont="1" applyFill="1" applyBorder="1" applyAlignment="1">
      <alignment horizontal="center" vertical="center" wrapText="1" readingOrder="1"/>
    </xf>
    <xf numFmtId="0" fontId="2" fillId="2" borderId="20" xfId="0" applyFont="1" applyFill="1" applyBorder="1" applyAlignment="1">
      <alignment horizontal="center" vertical="center" wrapText="1" readingOrder="1"/>
    </xf>
    <xf numFmtId="0" fontId="1" fillId="3" borderId="18" xfId="0" applyNumberFormat="1" applyFont="1" applyFill="1" applyBorder="1" applyAlignment="1">
      <alignment horizontal="center" vertical="center" wrapText="1" readingOrder="1"/>
    </xf>
    <xf numFmtId="0" fontId="1" fillId="3" borderId="19" xfId="0" applyNumberFormat="1" applyFont="1" applyFill="1" applyBorder="1" applyAlignment="1">
      <alignment horizontal="center" vertical="center" wrapText="1" readingOrder="1"/>
    </xf>
    <xf numFmtId="0" fontId="1" fillId="3" borderId="20" xfId="0" applyNumberFormat="1" applyFont="1" applyFill="1" applyBorder="1" applyAlignment="1">
      <alignment horizontal="center" vertical="center" wrapText="1" readingOrder="1"/>
    </xf>
    <xf numFmtId="0" fontId="1" fillId="0" borderId="16" xfId="0" applyFont="1" applyBorder="1" applyAlignment="1">
      <alignment horizontal="center" vertical="center" wrapText="1" readingOrder="1"/>
    </xf>
    <xf numFmtId="0" fontId="1" fillId="0" borderId="21" xfId="0" applyFont="1" applyBorder="1" applyAlignment="1">
      <alignment horizontal="center" vertical="center" wrapText="1" readingOrder="1"/>
    </xf>
    <xf numFmtId="0" fontId="1" fillId="0" borderId="17" xfId="0" applyFont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0" fontId="2" fillId="2" borderId="19" xfId="0" applyNumberFormat="1" applyFont="1" applyFill="1" applyBorder="1" applyAlignment="1">
      <alignment horizontal="center" vertical="center" wrapText="1" readingOrder="1"/>
    </xf>
    <xf numFmtId="0" fontId="2" fillId="2" borderId="20" xfId="0" applyNumberFormat="1" applyFont="1" applyFill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21" fillId="2" borderId="2" xfId="0" applyNumberFormat="1" applyFont="1" applyFill="1" applyBorder="1" applyAlignment="1">
      <alignment horizontal="center" vertical="center" wrapText="1"/>
    </xf>
    <xf numFmtId="0" fontId="21" fillId="2" borderId="36" xfId="0" applyNumberFormat="1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 readingOrder="1"/>
    </xf>
    <xf numFmtId="0" fontId="1" fillId="0" borderId="31" xfId="0" applyFont="1" applyBorder="1" applyAlignment="1">
      <alignment horizontal="center" vertical="center" wrapText="1" readingOrder="1"/>
    </xf>
    <xf numFmtId="0" fontId="1" fillId="0" borderId="37" xfId="0" applyFont="1" applyBorder="1" applyAlignment="1">
      <alignment horizontal="center" vertical="center" wrapText="1" readingOrder="1"/>
    </xf>
    <xf numFmtId="0" fontId="1" fillId="2" borderId="16" xfId="0" applyNumberFormat="1" applyFont="1" applyFill="1" applyBorder="1" applyAlignment="1">
      <alignment horizontal="center" vertical="center" wrapText="1" readingOrder="1"/>
    </xf>
    <xf numFmtId="0" fontId="1" fillId="2" borderId="21" xfId="0" applyNumberFormat="1" applyFont="1" applyFill="1" applyBorder="1" applyAlignment="1">
      <alignment horizontal="center" vertical="center" wrapText="1" readingOrder="1"/>
    </xf>
    <xf numFmtId="49" fontId="4" fillId="0" borderId="23" xfId="0" applyNumberFormat="1" applyFont="1" applyBorder="1" applyAlignment="1">
      <alignment horizontal="center" vertical="center" wrapText="1"/>
    </xf>
    <xf numFmtId="49" fontId="4" fillId="0" borderId="0" xfId="0" applyNumberFormat="1" applyFont="1" applyBorder="1" applyAlignment="1">
      <alignment horizontal="center" vertical="center" wrapText="1"/>
    </xf>
    <xf numFmtId="49" fontId="4" fillId="0" borderId="38" xfId="0" applyNumberFormat="1" applyFont="1" applyBorder="1" applyAlignment="1">
      <alignment horizontal="center" vertical="center" wrapText="1"/>
    </xf>
    <xf numFmtId="0" fontId="24" fillId="0" borderId="34" xfId="0" applyFont="1" applyBorder="1" applyAlignment="1">
      <alignment horizontal="center" vertical="center" wrapText="1" readingOrder="1"/>
    </xf>
    <xf numFmtId="0" fontId="24" fillId="0" borderId="35" xfId="0" applyFont="1" applyBorder="1" applyAlignment="1">
      <alignment horizontal="center" vertical="center" wrapText="1" readingOrder="1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</cellXfs>
  <cellStyles count="2">
    <cellStyle name="Normal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138954</xdr:rowOff>
    </xdr:from>
    <xdr:to>
      <xdr:col>26</xdr:col>
      <xdr:colOff>9525</xdr:colOff>
      <xdr:row>3</xdr:row>
      <xdr:rowOff>52108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138954"/>
          <a:ext cx="17087850" cy="446554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159108</xdr:colOff>
          <xdr:row>1</xdr:row>
          <xdr:rowOff>2802</xdr:rowOff>
        </xdr:from>
        <xdr:to>
          <xdr:col>28</xdr:col>
          <xdr:colOff>44869</xdr:colOff>
          <xdr:row>4</xdr:row>
          <xdr:rowOff>120466</xdr:rowOff>
        </xdr:to>
        <xdr:grpSp>
          <xdr:nvGrpSpPr>
            <xdr:cNvPr id="3" name="Group 2"/>
            <xdr:cNvGrpSpPr/>
          </xdr:nvGrpSpPr>
          <xdr:grpSpPr>
            <a:xfrm>
              <a:off x="14581064" y="148478"/>
              <a:ext cx="1925226" cy="756400"/>
              <a:chOff x="16792588" y="76200"/>
              <a:chExt cx="1064605" cy="675157"/>
            </a:xfrm>
            <a:solidFill>
              <a:schemeClr val="accent2"/>
            </a:solidFill>
            <a:effectLst>
              <a:outerShdw blurRad="50800" dist="38100" dir="2700000" algn="tl" rotWithShape="0">
                <a:schemeClr val="accent3">
                  <a:alpha val="40000"/>
                </a:schemeClr>
              </a:outerShdw>
            </a:effectLst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 bwMode="auto">
              <a:xfrm>
                <a:off x="16792588" y="76200"/>
                <a:ext cx="1064560" cy="27230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16802160" y="457204"/>
                <a:ext cx="1055033" cy="29415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ORGANISE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18</xdr:col>
      <xdr:colOff>1733550</xdr:colOff>
      <xdr:row>3</xdr:row>
      <xdr:rowOff>8551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1315700" cy="545873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 SHORT FILL		2) 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STREAKS		3) UNDER CUT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4) BLACK MARK		5) 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AIR BUBBLE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 RIB DAMAGE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 GAS MARK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8) CONTAMINATION		9) WEIGHT ISSUE 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10)SINK</a:t>
          </a:r>
          <a:r>
            <a:rPr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ISSUE </a:t>
          </a:r>
          <a:endParaRPr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327773</xdr:colOff>
          <xdr:row>0</xdr:row>
          <xdr:rowOff>108137</xdr:rowOff>
        </xdr:from>
        <xdr:to>
          <xdr:col>22</xdr:col>
          <xdr:colOff>11206</xdr:colOff>
          <xdr:row>3</xdr:row>
          <xdr:rowOff>22412</xdr:rowOff>
        </xdr:to>
        <xdr:grpSp>
          <xdr:nvGrpSpPr>
            <xdr:cNvPr id="3" name="Group 2"/>
            <xdr:cNvGrpSpPr/>
          </xdr:nvGrpSpPr>
          <xdr:grpSpPr>
            <a:xfrm>
              <a:off x="11746564" y="108137"/>
              <a:ext cx="1823757" cy="553011"/>
              <a:chOff x="14300292" y="209580"/>
              <a:chExt cx="1822115" cy="914403"/>
            </a:xfrm>
          </xdr:grpSpPr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 bwMode="auto">
              <a:xfrm>
                <a:off x="14316074" y="209580"/>
                <a:ext cx="1790701" cy="371477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 bwMode="auto">
              <a:xfrm>
                <a:off x="14300292" y="733458"/>
                <a:ext cx="1822115" cy="390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ORGANISE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1343025</xdr:colOff>
          <xdr:row>5</xdr:row>
          <xdr:rowOff>66675</xdr:rowOff>
        </xdr:from>
        <xdr:to>
          <xdr:col>2</xdr:col>
          <xdr:colOff>1019175</xdr:colOff>
          <xdr:row>6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600074</xdr:colOff>
      <xdr:row>1</xdr:row>
      <xdr:rowOff>709612</xdr:rowOff>
    </xdr:from>
    <xdr:to>
      <xdr:col>12</xdr:col>
      <xdr:colOff>133350</xdr:colOff>
      <xdr:row>12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6543674" y="890587"/>
          <a:ext cx="5791201" cy="3109913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README:</a:t>
          </a:r>
          <a:endParaRPr lang="en-IN" sz="1100" b="1"/>
        </a:p>
        <a:p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</a:t>
          </a:r>
        </a:p>
        <a:p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</a:t>
          </a:r>
          <a:r>
            <a:rPr lang="en-IN" sz="1200"/>
            <a:t>with the flow. Let the button do the cleaning!</a:t>
          </a:r>
        </a:p>
        <a:p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clean, and ready to roll.</a:t>
          </a:r>
        </a:p>
        <a:p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custom-built—not your usual Excel defaults. Tweaking or deleting them </a:t>
          </a:r>
        </a:p>
        <a:p>
          <a:r>
            <a:rPr lang="en-IN" sz="1200"/>
            <a:t>    might break the automation.</a:t>
          </a:r>
        </a:p>
        <a:p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automation won’t know where to look.</a:t>
          </a:r>
        </a:p>
        <a:p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smoothly. Stay updated to keep things running smooth!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247"/>
  <sheetViews>
    <sheetView zoomScale="85" zoomScaleNormal="85" workbookViewId="0">
      <selection activeCell="D14" sqref="D14"/>
    </sheetView>
  </sheetViews>
  <sheetFormatPr defaultColWidth="39.125" defaultRowHeight="20.100000000000001" customHeight="1"/>
  <cols>
    <col min="1" max="1" width="5.5" style="4" bestFit="1" customWidth="1"/>
    <col min="2" max="2" width="6.625" style="3" bestFit="1" customWidth="1"/>
    <col min="3" max="3" width="7.125" style="3" bestFit="1" customWidth="1"/>
    <col min="4" max="4" width="31.125" style="3" bestFit="1" customWidth="1"/>
    <col min="5" max="7" width="5.625" style="25" customWidth="1"/>
    <col min="8" max="17" width="5.625" style="32" customWidth="1"/>
    <col min="18" max="18" width="7.625" style="3" customWidth="1"/>
    <col min="19" max="19" width="19.625" style="25" customWidth="1"/>
    <col min="20" max="23" width="5.625" style="25" customWidth="1"/>
    <col min="24" max="26" width="5.625" style="27" customWidth="1"/>
    <col min="27" max="27" width="15.25" style="52" customWidth="1"/>
    <col min="28" max="33" width="11.5" style="25" customWidth="1"/>
    <col min="34" max="165" width="11.5" style="3" customWidth="1"/>
    <col min="166" max="16384" width="39.125" style="3"/>
  </cols>
  <sheetData>
    <row r="1" spans="1:28" ht="11.25">
      <c r="H1" s="3"/>
      <c r="I1" s="3"/>
      <c r="J1" s="3"/>
      <c r="K1" s="3"/>
      <c r="L1" s="3"/>
      <c r="M1" s="3"/>
      <c r="N1" s="3"/>
      <c r="O1" s="3"/>
      <c r="P1" s="3"/>
      <c r="Q1" s="3"/>
    </row>
    <row r="2" spans="1:28" ht="11.25">
      <c r="H2" s="3"/>
      <c r="I2" s="3"/>
      <c r="J2" s="3"/>
      <c r="K2" s="3"/>
      <c r="L2" s="3"/>
      <c r="M2" s="3"/>
      <c r="N2" s="3"/>
      <c r="O2" s="3"/>
      <c r="P2" s="3"/>
      <c r="Q2" s="3"/>
    </row>
    <row r="3" spans="1:28" ht="20.100000000000001" customHeight="1">
      <c r="H3" s="3"/>
      <c r="I3" s="3"/>
      <c r="J3" s="3"/>
      <c r="K3" s="3"/>
      <c r="L3" s="3"/>
      <c r="M3" s="3"/>
      <c r="N3" s="3"/>
      <c r="O3" s="3"/>
      <c r="P3" s="3"/>
      <c r="Q3" s="3"/>
    </row>
    <row r="4" spans="1:28" ht="20.100000000000001" customHeight="1">
      <c r="H4" s="3"/>
      <c r="I4" s="3"/>
      <c r="J4" s="3"/>
      <c r="K4" s="3"/>
      <c r="L4" s="3"/>
      <c r="M4" s="3"/>
      <c r="N4" s="3"/>
      <c r="O4" s="3"/>
      <c r="P4" s="3"/>
      <c r="Q4" s="3"/>
      <c r="U4" s="89" t="s">
        <v>25</v>
      </c>
      <c r="V4" s="89"/>
      <c r="W4" s="89"/>
      <c r="X4" s="89" t="s">
        <v>30</v>
      </c>
      <c r="Y4" s="89"/>
      <c r="Z4" s="89"/>
    </row>
    <row r="5" spans="1:28" ht="20.100000000000001" customHeight="1">
      <c r="A5" s="102" t="s">
        <v>0</v>
      </c>
      <c r="B5" s="102" t="s">
        <v>1</v>
      </c>
      <c r="C5" s="102" t="s">
        <v>2</v>
      </c>
      <c r="D5" s="102" t="s">
        <v>3</v>
      </c>
      <c r="E5" s="121" t="s">
        <v>4</v>
      </c>
      <c r="F5" s="122"/>
      <c r="G5" s="123"/>
      <c r="H5" s="102" t="s">
        <v>5</v>
      </c>
      <c r="I5" s="102" t="s">
        <v>6</v>
      </c>
      <c r="J5" s="102" t="s">
        <v>7</v>
      </c>
      <c r="K5" s="102" t="s">
        <v>8</v>
      </c>
      <c r="L5" s="102" t="s">
        <v>9</v>
      </c>
      <c r="M5" s="102" t="s">
        <v>10</v>
      </c>
      <c r="N5" s="102" t="s">
        <v>11</v>
      </c>
      <c r="O5" s="102" t="s">
        <v>12</v>
      </c>
      <c r="P5" s="102" t="s">
        <v>13</v>
      </c>
      <c r="Q5" s="102" t="s">
        <v>14</v>
      </c>
      <c r="R5" s="102" t="s">
        <v>15</v>
      </c>
      <c r="S5" s="95" t="s">
        <v>16</v>
      </c>
      <c r="T5" s="95" t="s">
        <v>24</v>
      </c>
      <c r="U5" s="95" t="s">
        <v>17</v>
      </c>
      <c r="V5" s="95" t="s">
        <v>18</v>
      </c>
      <c r="W5" s="95" t="s">
        <v>19</v>
      </c>
      <c r="X5" s="90" t="s">
        <v>17</v>
      </c>
      <c r="Y5" s="90" t="s">
        <v>18</v>
      </c>
      <c r="Z5" s="90" t="s">
        <v>19</v>
      </c>
    </row>
    <row r="6" spans="1:28" ht="20.100000000000001" customHeight="1">
      <c r="A6" s="103"/>
      <c r="B6" s="103"/>
      <c r="C6" s="103"/>
      <c r="D6" s="103"/>
      <c r="E6" s="29" t="s">
        <v>17</v>
      </c>
      <c r="F6" s="30" t="s">
        <v>18</v>
      </c>
      <c r="G6" s="30" t="s">
        <v>19</v>
      </c>
      <c r="H6" s="103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96"/>
      <c r="T6" s="96"/>
      <c r="U6" s="96"/>
      <c r="V6" s="96"/>
      <c r="W6" s="96"/>
      <c r="X6" s="91"/>
      <c r="Y6" s="91"/>
      <c r="Z6" s="91"/>
      <c r="AA6" s="56" t="s">
        <v>44</v>
      </c>
    </row>
    <row r="7" spans="1:28" ht="20.100000000000001" customHeight="1">
      <c r="A7" s="112" t="s">
        <v>20</v>
      </c>
      <c r="B7" s="113"/>
      <c r="C7" s="113"/>
      <c r="D7" s="114"/>
      <c r="E7" s="118">
        <f>EvalPower(E8:G8)</f>
        <v>10</v>
      </c>
      <c r="F7" s="119"/>
      <c r="G7" s="120"/>
      <c r="H7" s="106">
        <f t="shared" ref="H7:Q7" si="0">EvalMath(H11:H131)</f>
        <v>8</v>
      </c>
      <c r="I7" s="106" t="str">
        <f t="shared" si="0"/>
        <v>-</v>
      </c>
      <c r="J7" s="106">
        <f t="shared" si="0"/>
        <v>2</v>
      </c>
      <c r="K7" s="106" t="str">
        <f t="shared" si="0"/>
        <v>-</v>
      </c>
      <c r="L7" s="106" t="str">
        <f t="shared" si="0"/>
        <v>-</v>
      </c>
      <c r="M7" s="106" t="str">
        <f t="shared" si="0"/>
        <v>-</v>
      </c>
      <c r="N7" s="106" t="str">
        <f t="shared" si="0"/>
        <v>-</v>
      </c>
      <c r="O7" s="106" t="str">
        <f t="shared" si="0"/>
        <v>-</v>
      </c>
      <c r="P7" s="106">
        <f t="shared" si="0"/>
        <v>11</v>
      </c>
      <c r="Q7" s="106" t="str">
        <f t="shared" si="0"/>
        <v>-</v>
      </c>
      <c r="R7" s="108">
        <f>EvalPower(R11:R131)-R9</f>
        <v>0</v>
      </c>
      <c r="S7" s="98"/>
      <c r="T7" s="93"/>
      <c r="U7" s="97">
        <f>EvalPower(U11:U246)</f>
        <v>11</v>
      </c>
      <c r="V7" s="97" t="str">
        <f>EvalPower(V11:V246)</f>
        <v>0</v>
      </c>
      <c r="W7" s="97" t="str">
        <f>EvalPower(W11:W246)</f>
        <v>0</v>
      </c>
      <c r="X7" s="92" t="str">
        <f>EvalPower(X11:X247)</f>
        <v>0</v>
      </c>
      <c r="Y7" s="92" t="str">
        <f>EvalPower(Y11:Y247)</f>
        <v>0</v>
      </c>
      <c r="Z7" s="92" t="str">
        <f>EvalPower(Z11:Z247)</f>
        <v>0</v>
      </c>
      <c r="AA7"/>
    </row>
    <row r="8" spans="1:28" ht="20.100000000000001" customHeight="1">
      <c r="A8" s="115"/>
      <c r="B8" s="116"/>
      <c r="C8" s="116"/>
      <c r="D8" s="117"/>
      <c r="E8" s="24">
        <f>EvalPower(E11:E131)-E10</f>
        <v>10</v>
      </c>
      <c r="F8" s="24">
        <f>EvalPower(F11:F131)-F10</f>
        <v>0</v>
      </c>
      <c r="G8" s="24">
        <f>EvalPower(G11:G131)-G10</f>
        <v>0</v>
      </c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9"/>
      <c r="S8" s="99"/>
      <c r="T8" s="94"/>
      <c r="U8" s="94"/>
      <c r="V8" s="94"/>
      <c r="W8" s="94"/>
      <c r="X8" s="88"/>
      <c r="Y8" s="88"/>
      <c r="Z8" s="88"/>
    </row>
    <row r="9" spans="1:28" ht="20.100000000000001" customHeight="1">
      <c r="A9" s="112" t="s">
        <v>21</v>
      </c>
      <c r="B9" s="113"/>
      <c r="C9" s="113"/>
      <c r="D9" s="114"/>
      <c r="E9" s="127">
        <f>EvalPower(E10:G10)</f>
        <v>11</v>
      </c>
      <c r="F9" s="128"/>
      <c r="G9" s="129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04" t="str">
        <f>EvalPower(X7:Z8)</f>
        <v>0</v>
      </c>
      <c r="S9" s="100"/>
      <c r="T9" s="98"/>
      <c r="U9" s="93"/>
      <c r="V9" s="93"/>
      <c r="W9" s="93"/>
      <c r="X9" s="87"/>
      <c r="Y9" s="87"/>
      <c r="Z9" s="87"/>
    </row>
    <row r="10" spans="1:28" ht="19.5" customHeight="1">
      <c r="A10" s="124"/>
      <c r="B10" s="125"/>
      <c r="C10" s="125"/>
      <c r="D10" s="126"/>
      <c r="E10" s="31">
        <f>U7</f>
        <v>11</v>
      </c>
      <c r="F10" s="31" t="str">
        <f>V7</f>
        <v>0</v>
      </c>
      <c r="G10" s="31" t="str">
        <f>W7</f>
        <v>0</v>
      </c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05"/>
      <c r="S10" s="101"/>
      <c r="T10" s="99"/>
      <c r="U10" s="94"/>
      <c r="V10" s="94"/>
      <c r="W10" s="94"/>
      <c r="X10" s="88"/>
      <c r="Y10" s="88"/>
      <c r="Z10" s="88"/>
      <c r="AB10" s="28"/>
    </row>
    <row r="11" spans="1:28" ht="20.100000000000001" customHeight="1">
      <c r="A11" s="18">
        <v>1</v>
      </c>
      <c r="B11" s="83" t="s">
        <v>49</v>
      </c>
      <c r="C11" s="55" t="s">
        <v>57</v>
      </c>
      <c r="D11" s="55" t="s">
        <v>60</v>
      </c>
      <c r="E11" s="40" t="s">
        <v>46</v>
      </c>
      <c r="F11" s="40"/>
      <c r="G11" s="40"/>
      <c r="H11" s="19"/>
      <c r="I11" s="19"/>
      <c r="J11" s="18"/>
      <c r="K11" s="19"/>
      <c r="L11" s="19"/>
      <c r="M11" s="19"/>
      <c r="N11" s="19"/>
      <c r="O11" s="19"/>
      <c r="P11" s="18" t="s">
        <v>46</v>
      </c>
      <c r="Q11" s="19"/>
      <c r="R11" s="14">
        <f t="shared" ref="R11:R18" si="1">(EvalPower(E11:G11)*T11)</f>
        <v>0</v>
      </c>
      <c r="S11" s="18"/>
      <c r="T11" s="21"/>
      <c r="U11" s="21" t="s">
        <v>46</v>
      </c>
      <c r="V11" s="21"/>
      <c r="W11" s="21"/>
      <c r="X11" s="26">
        <f t="shared" ref="X11:X18" si="2">U11*T11</f>
        <v>0</v>
      </c>
      <c r="Y11" s="26">
        <f t="shared" ref="Y11:Y18" si="3">V11*T11</f>
        <v>0</v>
      </c>
      <c r="Z11" s="26">
        <f t="shared" ref="Z11:Z18" si="4">W11*T11</f>
        <v>0</v>
      </c>
      <c r="AA11" s="52" t="str">
        <f t="shared" ref="AA11:AA43" si="5"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</row>
    <row r="12" spans="1:28" ht="20.100000000000001" customHeight="1">
      <c r="A12" s="18">
        <v>2</v>
      </c>
      <c r="B12" s="83" t="s">
        <v>49</v>
      </c>
      <c r="C12" s="55" t="s">
        <v>59</v>
      </c>
      <c r="D12" s="55" t="s">
        <v>58</v>
      </c>
      <c r="E12" s="40" t="s">
        <v>43</v>
      </c>
      <c r="F12" s="40" t="s">
        <v>61</v>
      </c>
      <c r="G12" s="40"/>
      <c r="H12" s="19"/>
      <c r="I12" s="19"/>
      <c r="J12" s="18"/>
      <c r="K12" s="19"/>
      <c r="L12" s="19"/>
      <c r="M12" s="19"/>
      <c r="N12" s="19"/>
      <c r="O12" s="19"/>
      <c r="P12" s="18"/>
      <c r="Q12" s="19"/>
      <c r="R12" s="14">
        <f t="shared" si="1"/>
        <v>0</v>
      </c>
      <c r="S12" s="18"/>
      <c r="T12" s="21"/>
      <c r="U12" s="21"/>
      <c r="V12" s="21"/>
      <c r="W12" s="21"/>
      <c r="X12" s="26">
        <f t="shared" si="2"/>
        <v>0</v>
      </c>
      <c r="Y12" s="26">
        <f t="shared" si="3"/>
        <v>0</v>
      </c>
      <c r="Z12" s="26">
        <f t="shared" si="4"/>
        <v>0</v>
      </c>
      <c r="AA12" s="52" t="str">
        <f>IF(AND(EvalPower(E12:G12)=EvalPower(H12:Q12), EvalPower(P12)=EvalPower(U12:W12)), "", IF(AND(EvalPower(E12:G12)&lt;&gt;EvalPower(H12:Q12), EvalPower(P12)&lt;&gt;EvalPower(U12:W12)), "NG Total and Power total both mistake", IF(EvalPower(E12:G12)&lt;&gt;EvalPower(H12:Q12), "TOTAL ERROR", "POWER CUT ERROR!")))</f>
        <v/>
      </c>
    </row>
    <row r="13" spans="1:28" ht="20.100000000000001" customHeight="1">
      <c r="A13" s="18">
        <v>3</v>
      </c>
      <c r="B13" s="83" t="s">
        <v>50</v>
      </c>
      <c r="C13" s="55" t="s">
        <v>62</v>
      </c>
      <c r="D13" s="55" t="s">
        <v>64</v>
      </c>
      <c r="E13" s="40" t="s">
        <v>63</v>
      </c>
      <c r="F13" s="40"/>
      <c r="G13" s="40"/>
      <c r="H13" s="19"/>
      <c r="I13" s="19"/>
      <c r="J13" s="18"/>
      <c r="K13" s="19"/>
      <c r="L13" s="19"/>
      <c r="M13" s="19"/>
      <c r="N13" s="19"/>
      <c r="O13" s="19"/>
      <c r="P13" s="18" t="s">
        <v>63</v>
      </c>
      <c r="Q13" s="19"/>
      <c r="R13" s="14">
        <f t="shared" si="1"/>
        <v>0</v>
      </c>
      <c r="S13" s="18"/>
      <c r="T13" s="21"/>
      <c r="U13" s="21" t="s">
        <v>45</v>
      </c>
      <c r="V13" s="21"/>
      <c r="W13" s="21"/>
      <c r="X13" s="26">
        <f t="shared" si="2"/>
        <v>0</v>
      </c>
      <c r="Y13" s="26">
        <f t="shared" si="3"/>
        <v>0</v>
      </c>
      <c r="Z13" s="26">
        <f t="shared" si="4"/>
        <v>0</v>
      </c>
      <c r="AA13" s="52" t="str">
        <f t="shared" ref="AA13:AA21" si="6">IF(AND(EvalPower(E13:G13)=EvalPower(H13:Q13), EvalPower(P13)=EvalPower(U13:W13)), "", IF(AND(EvalPower(E13:G13)&lt;&gt;EvalPower(H13:Q13), EvalPower(P13)&lt;&gt;EvalPower(U13:W13)), "NG Total and Power total both mistake", IF(EvalPower(E13:G13)&lt;&gt;EvalPower(H13:Q13), "TOTAL ERROR", "POWER CUT ERROR!")))</f>
        <v/>
      </c>
    </row>
    <row r="14" spans="1:28" ht="20.100000000000001" customHeight="1">
      <c r="A14" s="18">
        <v>4</v>
      </c>
      <c r="B14" s="83" t="s">
        <v>50</v>
      </c>
      <c r="C14" s="55" t="s">
        <v>66</v>
      </c>
      <c r="D14" s="55" t="s">
        <v>65</v>
      </c>
      <c r="E14" s="40" t="s">
        <v>43</v>
      </c>
      <c r="F14" s="40" t="s">
        <v>61</v>
      </c>
      <c r="G14" s="40"/>
      <c r="H14" s="19"/>
      <c r="I14" s="19"/>
      <c r="J14" s="18"/>
      <c r="K14" s="19"/>
      <c r="L14" s="19"/>
      <c r="M14" s="19"/>
      <c r="N14" s="19"/>
      <c r="O14" s="19"/>
      <c r="P14" s="18"/>
      <c r="Q14" s="19"/>
      <c r="R14" s="14">
        <f t="shared" si="1"/>
        <v>0</v>
      </c>
      <c r="S14" s="18"/>
      <c r="T14" s="21"/>
      <c r="U14" s="21"/>
      <c r="V14" s="21"/>
      <c r="W14" s="21"/>
      <c r="X14" s="26">
        <f t="shared" si="2"/>
        <v>0</v>
      </c>
      <c r="Y14" s="26">
        <f t="shared" si="3"/>
        <v>0</v>
      </c>
      <c r="Z14" s="26">
        <f t="shared" si="4"/>
        <v>0</v>
      </c>
      <c r="AA14" s="52" t="str">
        <f t="shared" si="6"/>
        <v/>
      </c>
    </row>
    <row r="15" spans="1:28" ht="25.5" customHeight="1">
      <c r="A15" s="18">
        <v>5</v>
      </c>
      <c r="B15" s="83" t="s">
        <v>54</v>
      </c>
      <c r="C15" s="55" t="s">
        <v>62</v>
      </c>
      <c r="D15" s="55" t="s">
        <v>67</v>
      </c>
      <c r="E15" s="40" t="s">
        <v>46</v>
      </c>
      <c r="F15" s="40"/>
      <c r="G15" s="40"/>
      <c r="H15" s="19"/>
      <c r="I15" s="19"/>
      <c r="J15" s="18" t="s">
        <v>46</v>
      </c>
      <c r="K15" s="19"/>
      <c r="L15" s="19"/>
      <c r="M15" s="19"/>
      <c r="N15" s="19"/>
      <c r="O15" s="19"/>
      <c r="P15" s="18"/>
      <c r="Q15" s="19"/>
      <c r="R15" s="14">
        <f t="shared" si="1"/>
        <v>0</v>
      </c>
      <c r="S15" s="18"/>
      <c r="T15" s="21"/>
      <c r="U15" s="21"/>
      <c r="V15" s="21"/>
      <c r="W15" s="21"/>
      <c r="X15" s="26">
        <f t="shared" si="2"/>
        <v>0</v>
      </c>
      <c r="Y15" s="26">
        <f t="shared" si="3"/>
        <v>0</v>
      </c>
      <c r="Z15" s="26">
        <f t="shared" si="4"/>
        <v>0</v>
      </c>
      <c r="AA15" s="52" t="str">
        <f t="shared" si="6"/>
        <v/>
      </c>
    </row>
    <row r="16" spans="1:28" ht="22.5" customHeight="1">
      <c r="A16" s="18">
        <v>6</v>
      </c>
      <c r="B16" s="83" t="s">
        <v>51</v>
      </c>
      <c r="C16" s="55" t="s">
        <v>69</v>
      </c>
      <c r="D16" s="55" t="s">
        <v>68</v>
      </c>
      <c r="E16" s="40" t="s">
        <v>53</v>
      </c>
      <c r="F16" s="40"/>
      <c r="G16" s="40"/>
      <c r="H16" s="19" t="s">
        <v>46</v>
      </c>
      <c r="I16" s="19"/>
      <c r="J16" s="18"/>
      <c r="K16" s="19"/>
      <c r="L16" s="19"/>
      <c r="M16" s="19"/>
      <c r="N16" s="19"/>
      <c r="O16" s="19"/>
      <c r="P16" s="18" t="s">
        <v>47</v>
      </c>
      <c r="Q16" s="19"/>
      <c r="R16" s="14">
        <f t="shared" si="1"/>
        <v>0</v>
      </c>
      <c r="S16" s="18"/>
      <c r="T16" s="21"/>
      <c r="U16" s="21" t="s">
        <v>47</v>
      </c>
      <c r="V16" s="21"/>
      <c r="W16" s="21"/>
      <c r="X16" s="26">
        <f t="shared" si="2"/>
        <v>0</v>
      </c>
      <c r="Y16" s="26">
        <f t="shared" si="3"/>
        <v>0</v>
      </c>
      <c r="Z16" s="26">
        <f t="shared" si="4"/>
        <v>0</v>
      </c>
      <c r="AA16" s="52" t="str">
        <f t="shared" si="6"/>
        <v/>
      </c>
    </row>
    <row r="17" spans="1:27" ht="22.5" customHeight="1">
      <c r="A17" s="18">
        <v>7</v>
      </c>
      <c r="B17" s="83" t="s">
        <v>51</v>
      </c>
      <c r="C17" s="55" t="s">
        <v>73</v>
      </c>
      <c r="D17" s="55" t="s">
        <v>72</v>
      </c>
      <c r="E17" s="40" t="s">
        <v>43</v>
      </c>
      <c r="F17" s="40" t="s">
        <v>61</v>
      </c>
      <c r="G17" s="40"/>
      <c r="H17" s="19"/>
      <c r="I17" s="19"/>
      <c r="J17" s="18"/>
      <c r="K17" s="19"/>
      <c r="L17" s="19"/>
      <c r="M17" s="19"/>
      <c r="N17" s="19"/>
      <c r="O17" s="19"/>
      <c r="P17" s="18"/>
      <c r="Q17" s="19"/>
      <c r="R17" s="14">
        <f t="shared" si="1"/>
        <v>0</v>
      </c>
      <c r="S17" s="18"/>
      <c r="T17" s="21"/>
      <c r="U17" s="21"/>
      <c r="V17" s="21"/>
      <c r="W17" s="21"/>
      <c r="X17" s="26">
        <f t="shared" si="2"/>
        <v>0</v>
      </c>
      <c r="Y17" s="26">
        <f t="shared" si="3"/>
        <v>0</v>
      </c>
      <c r="Z17" s="26">
        <f t="shared" si="4"/>
        <v>0</v>
      </c>
      <c r="AA17" s="52" t="str">
        <f>IF(AND(EvalPower(E17:G17)=EvalPower(H17:Q17), EvalPower(P17)=EvalPower(U17:W17)), "", IF(AND(EvalPower(E17:G17)&lt;&gt;EvalPower(H17:Q17), EvalPower(P17)&lt;&gt;EvalPower(U17:W17)), "NG Total and Power total both mistake", IF(EvalPower(E17:G17)&lt;&gt;EvalPower(H17:Q17), "TOTAL ERROR", "POWER CUT ERROR!")))</f>
        <v/>
      </c>
    </row>
    <row r="18" spans="1:27" ht="25.5" customHeight="1">
      <c r="A18" s="18">
        <v>8</v>
      </c>
      <c r="B18" s="83" t="s">
        <v>52</v>
      </c>
      <c r="C18" s="55" t="s">
        <v>69</v>
      </c>
      <c r="D18" s="55" t="s">
        <v>71</v>
      </c>
      <c r="E18" s="40" t="s">
        <v>45</v>
      </c>
      <c r="F18" s="40"/>
      <c r="G18" s="40"/>
      <c r="H18" s="19" t="s">
        <v>45</v>
      </c>
      <c r="I18" s="19"/>
      <c r="J18" s="18"/>
      <c r="K18" s="19"/>
      <c r="L18" s="19"/>
      <c r="M18" s="19"/>
      <c r="N18" s="19"/>
      <c r="O18" s="19"/>
      <c r="P18" s="18"/>
      <c r="Q18" s="19"/>
      <c r="R18" s="14">
        <f t="shared" si="1"/>
        <v>0</v>
      </c>
      <c r="S18" s="18"/>
      <c r="T18" s="21"/>
      <c r="U18" s="21"/>
      <c r="V18" s="21"/>
      <c r="W18" s="21"/>
      <c r="X18" s="26">
        <f t="shared" si="2"/>
        <v>0</v>
      </c>
      <c r="Y18" s="26">
        <f t="shared" si="3"/>
        <v>0</v>
      </c>
      <c r="Z18" s="26">
        <f t="shared" si="4"/>
        <v>0</v>
      </c>
      <c r="AA18" s="52" t="str">
        <f t="shared" si="6"/>
        <v/>
      </c>
    </row>
    <row r="19" spans="1:27" ht="20.100000000000001" customHeight="1">
      <c r="A19" s="18"/>
      <c r="B19" s="83"/>
      <c r="C19" s="55"/>
      <c r="D19" s="55"/>
      <c r="E19" s="40"/>
      <c r="F19" s="40"/>
      <c r="G19" s="40"/>
      <c r="H19" s="19"/>
      <c r="I19" s="19"/>
      <c r="J19" s="18"/>
      <c r="K19" s="19"/>
      <c r="L19" s="19"/>
      <c r="M19" s="19"/>
      <c r="N19" s="19"/>
      <c r="O19" s="19"/>
      <c r="P19" s="18"/>
      <c r="Q19" s="19"/>
      <c r="R19" s="14"/>
      <c r="S19" s="18"/>
      <c r="T19" s="21"/>
      <c r="U19" s="21"/>
      <c r="V19" s="21"/>
      <c r="W19" s="21"/>
      <c r="X19" s="26"/>
      <c r="Y19" s="26"/>
      <c r="Z19" s="26"/>
      <c r="AA19" s="52" t="str">
        <f t="shared" si="6"/>
        <v/>
      </c>
    </row>
    <row r="20" spans="1:27" ht="20.100000000000001" customHeight="1">
      <c r="A20" s="18"/>
      <c r="B20" s="83"/>
      <c r="C20" s="55"/>
      <c r="D20" s="55"/>
      <c r="E20" s="40"/>
      <c r="F20" s="40"/>
      <c r="G20" s="40"/>
      <c r="H20" s="19"/>
      <c r="I20" s="19"/>
      <c r="J20" s="18"/>
      <c r="K20" s="19"/>
      <c r="L20" s="19"/>
      <c r="M20" s="19"/>
      <c r="N20" s="19"/>
      <c r="O20" s="19"/>
      <c r="P20" s="18"/>
      <c r="Q20" s="19"/>
      <c r="R20" s="14"/>
      <c r="S20" s="18"/>
      <c r="T20" s="21"/>
      <c r="U20" s="21"/>
      <c r="V20" s="21"/>
      <c r="W20" s="21"/>
      <c r="X20" s="26"/>
      <c r="Y20" s="26"/>
      <c r="Z20" s="26"/>
      <c r="AA20" s="52" t="str">
        <f t="shared" si="6"/>
        <v/>
      </c>
    </row>
    <row r="21" spans="1:27" ht="25.5" customHeight="1">
      <c r="A21" s="18"/>
      <c r="B21" s="83"/>
      <c r="C21" s="55"/>
      <c r="D21" s="55"/>
      <c r="E21" s="40"/>
      <c r="F21" s="40"/>
      <c r="G21" s="40"/>
      <c r="H21" s="19"/>
      <c r="I21" s="19"/>
      <c r="J21" s="18"/>
      <c r="K21" s="19"/>
      <c r="L21" s="19"/>
      <c r="M21" s="19"/>
      <c r="N21" s="19"/>
      <c r="O21" s="19"/>
      <c r="P21" s="18"/>
      <c r="Q21" s="19"/>
      <c r="R21" s="14"/>
      <c r="S21" s="18"/>
      <c r="T21" s="21"/>
      <c r="U21" s="21"/>
      <c r="V21" s="21"/>
      <c r="W21" s="21"/>
      <c r="X21" s="26"/>
      <c r="Y21" s="26"/>
      <c r="Z21" s="26"/>
      <c r="AA21" s="52" t="str">
        <f t="shared" si="6"/>
        <v/>
      </c>
    </row>
    <row r="22" spans="1:27" ht="20.100000000000001" customHeight="1">
      <c r="A22" s="18"/>
      <c r="B22" s="83"/>
      <c r="C22" s="55"/>
      <c r="D22" s="55"/>
      <c r="E22" s="40"/>
      <c r="F22" s="40"/>
      <c r="G22" s="40"/>
      <c r="H22" s="19"/>
      <c r="I22" s="19"/>
      <c r="J22" s="18"/>
      <c r="K22" s="19"/>
      <c r="M22" s="19"/>
      <c r="N22" s="19"/>
      <c r="O22" s="19"/>
      <c r="P22" s="18"/>
      <c r="Q22" s="19"/>
      <c r="R22" s="14"/>
      <c r="S22" s="18"/>
      <c r="T22" s="21"/>
      <c r="U22" s="21"/>
      <c r="V22" s="21"/>
      <c r="W22" s="21"/>
      <c r="X22" s="26"/>
      <c r="Y22" s="26"/>
      <c r="Z22" s="26"/>
      <c r="AA22" s="52" t="str">
        <f t="shared" ref="AA22:AA36" si="7">IF(AND(EvalPower(E22:G22)=EvalPower(H22:Q22), EvalPower(P22)=EvalPower(U22:W22)), "", IF(AND(EvalPower(E22:G22)&lt;&gt;EvalPower(H22:Q22), EvalPower(P22)&lt;&gt;EvalPower(U22:W22)), "NG Total and Power total both mistake", IF(EvalPower(E22:G22)&lt;&gt;EvalPower(H22:Q22), "TOTAL ERROR", "POWER CUT ERROR!")))</f>
        <v/>
      </c>
    </row>
    <row r="23" spans="1:27" ht="20.100000000000001" customHeight="1">
      <c r="A23" s="18"/>
      <c r="B23" s="83"/>
      <c r="C23" s="55"/>
      <c r="D23" s="55"/>
      <c r="E23" s="40"/>
      <c r="F23" s="40"/>
      <c r="G23" s="40"/>
      <c r="H23" s="19"/>
      <c r="I23" s="19"/>
      <c r="J23" s="18"/>
      <c r="K23" s="19"/>
      <c r="L23" s="19"/>
      <c r="M23" s="19"/>
      <c r="N23" s="19"/>
      <c r="O23" s="19"/>
      <c r="P23" s="18"/>
      <c r="Q23" s="19"/>
      <c r="R23" s="14"/>
      <c r="S23" s="18"/>
      <c r="T23" s="21"/>
      <c r="U23" s="21"/>
      <c r="V23" s="21"/>
      <c r="W23" s="21"/>
      <c r="X23" s="26"/>
      <c r="Y23" s="26"/>
      <c r="Z23" s="26"/>
      <c r="AA23" s="52" t="str">
        <f t="shared" si="7"/>
        <v/>
      </c>
    </row>
    <row r="24" spans="1:27" ht="20.100000000000001" customHeight="1">
      <c r="A24" s="18"/>
      <c r="B24" s="83"/>
      <c r="C24" s="55"/>
      <c r="D24" s="55"/>
      <c r="E24" s="40"/>
      <c r="F24" s="40"/>
      <c r="G24" s="40"/>
      <c r="H24" s="19"/>
      <c r="I24" s="19"/>
      <c r="J24" s="18"/>
      <c r="K24" s="19"/>
      <c r="L24" s="19"/>
      <c r="M24" s="19"/>
      <c r="N24" s="19"/>
      <c r="O24" s="19"/>
      <c r="P24" s="18"/>
      <c r="Q24" s="19"/>
      <c r="R24" s="14"/>
      <c r="S24" s="18"/>
      <c r="T24" s="21"/>
      <c r="U24" s="21"/>
      <c r="V24" s="21"/>
      <c r="W24" s="21"/>
      <c r="X24" s="26"/>
      <c r="Y24" s="26"/>
      <c r="Z24" s="26"/>
      <c r="AA24" s="52" t="str">
        <f>IF(AND(EvalPower(E24:G24)=EvalPower(H24:Q24), EvalPower(P24)=EvalPower(U24:W24)), "", IF(AND(EvalPower(E24:G24)&lt;&gt;EvalPower(H24:Q24), EvalPower(P24)&lt;&gt;EvalPower(U24:W24)), "NG Total and Power total both mistake", IF(EvalPower(E24:G24)&lt;&gt;EvalPower(H24:Q24), "TOTAL ERROR", "POWER CUT ERROR!")))</f>
        <v/>
      </c>
    </row>
    <row r="25" spans="1:27" ht="20.100000000000001" customHeight="1">
      <c r="A25" s="18"/>
      <c r="B25" s="83"/>
      <c r="C25" s="55"/>
      <c r="D25" s="55"/>
      <c r="E25" s="40"/>
      <c r="F25" s="40"/>
      <c r="G25" s="40"/>
      <c r="H25" s="19"/>
      <c r="I25" s="19"/>
      <c r="J25" s="18"/>
      <c r="K25" s="19"/>
      <c r="L25" s="19"/>
      <c r="M25" s="19"/>
      <c r="N25" s="19"/>
      <c r="O25" s="19"/>
      <c r="P25" s="18"/>
      <c r="Q25" s="19"/>
      <c r="R25" s="14"/>
      <c r="S25" s="18"/>
      <c r="T25" s="21"/>
      <c r="U25" s="21"/>
      <c r="V25" s="21"/>
      <c r="W25" s="21"/>
      <c r="X25" s="26"/>
      <c r="Y25" s="26"/>
      <c r="Z25" s="26"/>
      <c r="AA25" s="52" t="str">
        <f>IF(AND(EvalPower(E25:G25)=EvalPower(H25:Q25), EvalPower(P25)=EvalPower(U25:W25)), "", IF(AND(EvalPower(E25:G25)&lt;&gt;EvalPower(H25:Q25), EvalPower(P25)&lt;&gt;EvalPower(U25:W25)), "NG Total and Power total both mistake", IF(EvalPower(E25:G25)&lt;&gt;EvalPower(H25:Q25), "TOTAL ERROR", "POWER CUT ERROR!")))</f>
        <v/>
      </c>
    </row>
    <row r="26" spans="1:27" ht="20.100000000000001" customHeight="1">
      <c r="A26" s="18"/>
      <c r="B26" s="83"/>
      <c r="C26" s="55"/>
      <c r="D26" s="55"/>
      <c r="E26" s="40"/>
      <c r="F26" s="40"/>
      <c r="G26" s="40"/>
      <c r="H26" s="19"/>
      <c r="I26" s="19"/>
      <c r="J26" s="18"/>
      <c r="K26" s="19"/>
      <c r="L26" s="19"/>
      <c r="M26" s="19"/>
      <c r="N26" s="19"/>
      <c r="O26" s="19"/>
      <c r="P26" s="18"/>
      <c r="Q26" s="19"/>
      <c r="R26" s="14"/>
      <c r="S26" s="18"/>
      <c r="T26" s="21"/>
      <c r="U26" s="21"/>
      <c r="V26" s="21"/>
      <c r="W26" s="21"/>
      <c r="X26" s="26"/>
      <c r="Y26" s="26"/>
      <c r="Z26" s="26"/>
      <c r="AA26" s="52" t="str">
        <f>IF(AND(EvalPower(E26:G26)=EvalPower(H26:Q26), EvalPower(P26)=EvalPower(U26:W26)), "", IF(AND(EvalPower(E26:G26)&lt;&gt;EvalPower(H26:Q26), EvalPower(P26)&lt;&gt;EvalPower(U26:W26)), "NG Total and Power total both mistake", IF(EvalPower(E26:G26)&lt;&gt;EvalPower(H26:Q26), "TOTAL ERROR", "POWER CUT ERROR!")))</f>
        <v/>
      </c>
    </row>
    <row r="27" spans="1:27" ht="20.100000000000001" customHeight="1">
      <c r="A27" s="18"/>
      <c r="B27" s="83"/>
      <c r="C27" s="55"/>
      <c r="D27" s="55"/>
      <c r="E27" s="40"/>
      <c r="F27" s="40"/>
      <c r="G27" s="40"/>
      <c r="H27" s="19"/>
      <c r="I27" s="19"/>
      <c r="J27" s="18"/>
      <c r="K27" s="19"/>
      <c r="L27" s="19"/>
      <c r="M27" s="19"/>
      <c r="N27" s="19"/>
      <c r="O27" s="19"/>
      <c r="P27" s="18"/>
      <c r="Q27" s="19"/>
      <c r="R27" s="14"/>
      <c r="S27" s="18"/>
      <c r="T27" s="21"/>
      <c r="U27" s="21"/>
      <c r="V27" s="21"/>
      <c r="W27" s="21"/>
      <c r="X27" s="26"/>
      <c r="Y27" s="26"/>
      <c r="Z27" s="26"/>
      <c r="AA27" s="52" t="str">
        <f>IF(AND(EvalPower(E27:G27)=EvalPower(H27:Q27), EvalPower(P27)=EvalPower(U27:W27)), "", IF(AND(EvalPower(E27:G27)&lt;&gt;EvalPower(H27:Q27), EvalPower(P27)&lt;&gt;EvalPower(U27:W27)), "NG Total and Power total both mistake", IF(EvalPower(E27:G27)&lt;&gt;EvalPower(H27:Q27), "TOTAL ERROR", "POWER CUT ERROR!")))</f>
        <v/>
      </c>
    </row>
    <row r="28" spans="1:27" ht="20.100000000000001" customHeight="1">
      <c r="A28" s="18"/>
      <c r="B28" s="83"/>
      <c r="C28" s="55"/>
      <c r="D28" s="55"/>
      <c r="E28" s="40"/>
      <c r="F28" s="40"/>
      <c r="G28" s="40"/>
      <c r="H28" s="19"/>
      <c r="I28" s="19"/>
      <c r="J28" s="18"/>
      <c r="K28" s="19"/>
      <c r="L28" s="19"/>
      <c r="M28" s="19"/>
      <c r="N28" s="19"/>
      <c r="O28" s="19"/>
      <c r="P28" s="18"/>
      <c r="Q28" s="19"/>
      <c r="R28" s="14"/>
      <c r="S28" s="18"/>
      <c r="T28" s="21"/>
      <c r="U28" s="21"/>
      <c r="V28" s="21"/>
      <c r="W28" s="21"/>
      <c r="X28" s="26"/>
      <c r="Y28" s="26"/>
      <c r="Z28" s="26"/>
      <c r="AA28" s="52" t="str">
        <f t="shared" si="7"/>
        <v/>
      </c>
    </row>
    <row r="29" spans="1:27" ht="20.100000000000001" customHeight="1">
      <c r="A29" s="18"/>
      <c r="B29" s="83"/>
      <c r="C29" s="55"/>
      <c r="D29" s="55"/>
      <c r="E29" s="40"/>
      <c r="F29" s="40"/>
      <c r="G29" s="40"/>
      <c r="H29" s="19"/>
      <c r="I29" s="19"/>
      <c r="J29" s="18"/>
      <c r="K29" s="19"/>
      <c r="L29" s="19"/>
      <c r="M29" s="19"/>
      <c r="N29" s="19"/>
      <c r="O29" s="19"/>
      <c r="P29" s="18"/>
      <c r="Q29" s="19"/>
      <c r="R29" s="14"/>
      <c r="S29" s="18"/>
      <c r="T29" s="21"/>
      <c r="U29" s="21"/>
      <c r="V29" s="21"/>
      <c r="W29" s="21"/>
      <c r="X29" s="26"/>
      <c r="Y29" s="26"/>
      <c r="Z29" s="26"/>
      <c r="AA29" s="52" t="str">
        <f>IF(AND(EvalPower(E29:G29)=EvalPower(H29:Q29), EvalPower(P29)=EvalPower(U29:W29)), "", IF(AND(EvalPower(E29:G29)&lt;&gt;EvalPower(H29:Q29), EvalPower(P29)&lt;&gt;EvalPower(U29:W29)), "NG Total and Power total both mistake", IF(EvalPower(E29:G29)&lt;&gt;EvalPower(H29:Q29), "TOTAL ERROR", "POWER CUT ERROR!")))</f>
        <v/>
      </c>
    </row>
    <row r="30" spans="1:27" ht="20.100000000000001" customHeight="1">
      <c r="A30" s="18"/>
      <c r="B30" s="83"/>
      <c r="C30" s="55"/>
      <c r="D30" s="55"/>
      <c r="E30" s="40"/>
      <c r="F30" s="40"/>
      <c r="G30" s="40"/>
      <c r="H30" s="19"/>
      <c r="I30" s="19"/>
      <c r="J30" s="18"/>
      <c r="K30" s="19"/>
      <c r="L30" s="19"/>
      <c r="M30" s="19"/>
      <c r="N30" s="19"/>
      <c r="O30" s="19"/>
      <c r="P30" s="18"/>
      <c r="Q30" s="19"/>
      <c r="R30" s="14"/>
      <c r="S30" s="18"/>
      <c r="T30" s="21"/>
      <c r="U30" s="21"/>
      <c r="V30" s="21"/>
      <c r="W30" s="21"/>
      <c r="X30" s="26"/>
      <c r="Y30" s="26"/>
      <c r="Z30" s="26"/>
      <c r="AA30" s="52" t="str">
        <f>IF(AND(EvalPower(E30:G30)=EvalPower(H30:Q30), EvalPower(P30)=EvalPower(U30:W30)), "", IF(AND(EvalPower(E30:G30)&lt;&gt;EvalPower(H30:Q30), EvalPower(P30)&lt;&gt;EvalPower(U30:W30)), "NG Total and Power total both mistake", IF(EvalPower(E30:G30)&lt;&gt;EvalPower(H30:Q30), "TOTAL ERROR", "POWER CUT ERROR!")))</f>
        <v/>
      </c>
    </row>
    <row r="31" spans="1:27" ht="20.100000000000001" customHeight="1">
      <c r="A31" s="18"/>
      <c r="B31" s="83"/>
      <c r="C31" s="55"/>
      <c r="D31" s="55"/>
      <c r="E31" s="40"/>
      <c r="F31" s="40"/>
      <c r="G31" s="40"/>
      <c r="H31" s="19"/>
      <c r="I31" s="19"/>
      <c r="J31" s="18"/>
      <c r="K31" s="19"/>
      <c r="L31" s="19"/>
      <c r="M31" s="19"/>
      <c r="N31" s="19"/>
      <c r="O31" s="19"/>
      <c r="P31" s="18"/>
      <c r="Q31" s="19"/>
      <c r="R31" s="14"/>
      <c r="S31" s="18"/>
      <c r="T31" s="21"/>
      <c r="U31" s="21"/>
      <c r="V31" s="21"/>
      <c r="W31" s="21"/>
      <c r="X31" s="26"/>
      <c r="Y31" s="26"/>
      <c r="Z31" s="26"/>
      <c r="AA31" s="52" t="str">
        <f t="shared" si="7"/>
        <v/>
      </c>
    </row>
    <row r="32" spans="1:27" ht="20.100000000000001" customHeight="1">
      <c r="A32" s="18"/>
      <c r="B32" s="83"/>
      <c r="C32" s="55"/>
      <c r="D32" s="55"/>
      <c r="E32" s="40"/>
      <c r="F32" s="40"/>
      <c r="G32" s="40"/>
      <c r="H32" s="19"/>
      <c r="I32" s="19"/>
      <c r="J32" s="18"/>
      <c r="K32" s="19"/>
      <c r="L32" s="19"/>
      <c r="M32" s="19"/>
      <c r="N32" s="19"/>
      <c r="O32" s="19"/>
      <c r="P32" s="18"/>
      <c r="Q32" s="19"/>
      <c r="R32" s="14"/>
      <c r="S32" s="18"/>
      <c r="T32" s="21"/>
      <c r="U32" s="21"/>
      <c r="V32" s="21"/>
      <c r="W32" s="21"/>
      <c r="X32" s="26"/>
      <c r="Y32" s="26"/>
      <c r="Z32" s="26"/>
      <c r="AA32" s="52" t="str">
        <f>IF(AND(EvalPower(E32:G32)=EvalPower(H32:Q32), EvalPower(P32)=EvalPower(U32:W32)), "", IF(AND(EvalPower(E32:G32)&lt;&gt;EvalPower(H32:Q32), EvalPower(P32)&lt;&gt;EvalPower(U32:W32)), "NG Total and Power total both mistake", IF(EvalPower(E32:G32)&lt;&gt;EvalPower(H32:Q32), "TOTAL ERROR", "POWER CUT ERROR!")))</f>
        <v/>
      </c>
    </row>
    <row r="33" spans="1:27" ht="20.100000000000001" customHeight="1">
      <c r="A33" s="18"/>
      <c r="B33" s="83"/>
      <c r="C33" s="55"/>
      <c r="D33" s="55"/>
      <c r="E33" s="40"/>
      <c r="F33" s="40"/>
      <c r="G33" s="40"/>
      <c r="H33" s="19"/>
      <c r="I33" s="19"/>
      <c r="J33" s="18"/>
      <c r="K33" s="19"/>
      <c r="L33" s="19"/>
      <c r="M33" s="19"/>
      <c r="N33" s="19"/>
      <c r="O33" s="19"/>
      <c r="P33" s="18"/>
      <c r="Q33" s="19"/>
      <c r="R33" s="14"/>
      <c r="S33" s="18"/>
      <c r="T33" s="21"/>
      <c r="U33" s="21"/>
      <c r="V33" s="21"/>
      <c r="W33" s="21"/>
      <c r="X33" s="26"/>
      <c r="Y33" s="26"/>
      <c r="Z33" s="26"/>
      <c r="AA33" s="52" t="str">
        <f t="shared" si="7"/>
        <v/>
      </c>
    </row>
    <row r="34" spans="1:27" ht="20.100000000000001" customHeight="1">
      <c r="A34" s="18"/>
      <c r="B34" s="83"/>
      <c r="C34" s="55"/>
      <c r="D34" s="55"/>
      <c r="E34" s="40"/>
      <c r="F34" s="40"/>
      <c r="G34" s="40"/>
      <c r="H34" s="19"/>
      <c r="I34" s="19"/>
      <c r="J34" s="18"/>
      <c r="K34" s="19"/>
      <c r="L34" s="19"/>
      <c r="M34" s="19"/>
      <c r="N34" s="19"/>
      <c r="O34" s="19"/>
      <c r="P34" s="18"/>
      <c r="Q34" s="19"/>
      <c r="R34" s="14"/>
      <c r="S34" s="18"/>
      <c r="T34" s="21"/>
      <c r="U34" s="21"/>
      <c r="V34" s="21"/>
      <c r="W34" s="21"/>
      <c r="X34" s="26"/>
      <c r="Y34" s="26"/>
      <c r="Z34" s="26"/>
      <c r="AA34" s="52" t="str">
        <f t="shared" si="7"/>
        <v/>
      </c>
    </row>
    <row r="35" spans="1:27" ht="20.100000000000001" customHeight="1">
      <c r="A35" s="18"/>
      <c r="B35" s="83"/>
      <c r="C35" s="55"/>
      <c r="D35" s="55"/>
      <c r="E35" s="40"/>
      <c r="F35" s="40"/>
      <c r="G35" s="40"/>
      <c r="H35" s="19"/>
      <c r="I35" s="19"/>
      <c r="J35" s="18"/>
      <c r="K35" s="19"/>
      <c r="L35" s="19"/>
      <c r="M35" s="19"/>
      <c r="N35" s="19"/>
      <c r="O35" s="19"/>
      <c r="P35" s="18"/>
      <c r="Q35" s="19"/>
      <c r="R35" s="14"/>
      <c r="S35" s="18"/>
      <c r="T35" s="21"/>
      <c r="U35" s="21"/>
      <c r="V35" s="21"/>
      <c r="W35" s="21"/>
      <c r="X35" s="26"/>
      <c r="Y35" s="26"/>
      <c r="Z35" s="26"/>
      <c r="AA35" s="52" t="str">
        <f t="shared" si="7"/>
        <v/>
      </c>
    </row>
    <row r="36" spans="1:27" ht="29.25" customHeight="1">
      <c r="A36" s="18"/>
      <c r="B36" s="83"/>
      <c r="C36" s="55"/>
      <c r="D36" s="55"/>
      <c r="E36" s="40"/>
      <c r="F36" s="40"/>
      <c r="G36" s="40"/>
      <c r="H36" s="19"/>
      <c r="I36" s="19"/>
      <c r="J36" s="18"/>
      <c r="K36" s="19"/>
      <c r="L36" s="19"/>
      <c r="M36" s="19"/>
      <c r="N36" s="19"/>
      <c r="O36" s="19"/>
      <c r="P36" s="18"/>
      <c r="Q36" s="19"/>
      <c r="R36" s="14"/>
      <c r="S36" s="18"/>
      <c r="T36" s="21"/>
      <c r="U36" s="21"/>
      <c r="V36" s="21"/>
      <c r="W36" s="21"/>
      <c r="X36" s="26"/>
      <c r="Y36" s="26"/>
      <c r="Z36" s="26"/>
      <c r="AA36" s="52" t="str">
        <f t="shared" si="7"/>
        <v/>
      </c>
    </row>
    <row r="37" spans="1:27" ht="29.25" customHeight="1">
      <c r="A37" s="18"/>
      <c r="B37" s="83"/>
      <c r="C37" s="55"/>
      <c r="D37" s="55"/>
      <c r="E37" s="40"/>
      <c r="F37" s="40"/>
      <c r="G37" s="40"/>
      <c r="H37" s="19"/>
      <c r="I37" s="19"/>
      <c r="J37" s="18"/>
      <c r="K37" s="19"/>
      <c r="L37" s="19"/>
      <c r="M37" s="19"/>
      <c r="N37" s="19"/>
      <c r="O37" s="19"/>
      <c r="P37" s="18"/>
      <c r="Q37" s="19"/>
      <c r="R37" s="14"/>
      <c r="S37" s="18"/>
      <c r="T37" s="21"/>
      <c r="U37" s="21"/>
      <c r="V37" s="21"/>
      <c r="W37" s="21"/>
      <c r="X37" s="26"/>
      <c r="Y37" s="26"/>
      <c r="Z37" s="26"/>
      <c r="AA37" s="52" t="str">
        <f t="shared" si="5"/>
        <v/>
      </c>
    </row>
    <row r="38" spans="1:27" ht="36.75" customHeight="1">
      <c r="A38" s="18"/>
      <c r="B38" s="83"/>
      <c r="C38" s="55"/>
      <c r="D38" s="55"/>
      <c r="E38" s="40"/>
      <c r="F38" s="40"/>
      <c r="G38" s="40"/>
      <c r="H38" s="19"/>
      <c r="I38" s="19"/>
      <c r="J38" s="18"/>
      <c r="K38" s="19"/>
      <c r="L38" s="19"/>
      <c r="M38" s="19"/>
      <c r="N38" s="19"/>
      <c r="O38" s="19"/>
      <c r="P38" s="18"/>
      <c r="Q38" s="19"/>
      <c r="R38" s="14"/>
      <c r="S38" s="18"/>
      <c r="T38" s="21"/>
      <c r="U38" s="21"/>
      <c r="V38" s="21"/>
      <c r="W38" s="21"/>
      <c r="X38" s="26"/>
      <c r="Y38" s="26"/>
      <c r="Z38" s="26"/>
      <c r="AA38" s="52" t="str">
        <f>IF(AND(EvalPower(E38:G38)=EvalPower(H38:Q38), EvalPower(P38)=EvalPower(U38:W38)), "", IF(AND(EvalPower(E38:G38)&lt;&gt;EvalPower(H38:Q38), EvalPower(P38)&lt;&gt;EvalPower(U38:W38)), "NG Total and Power total both mistake", IF(EvalPower(E38:G38)&lt;&gt;EvalPower(H38:Q38), "TOTAL ERROR", "POWER CUT ERROR!")))</f>
        <v/>
      </c>
    </row>
    <row r="39" spans="1:27" ht="28.5" customHeight="1">
      <c r="A39" s="18"/>
      <c r="B39" s="83"/>
      <c r="C39" s="55"/>
      <c r="D39" s="57"/>
      <c r="E39" s="40"/>
      <c r="F39" s="40"/>
      <c r="G39" s="40"/>
      <c r="H39" s="19"/>
      <c r="I39" s="19"/>
      <c r="J39" s="18"/>
      <c r="K39" s="19"/>
      <c r="L39" s="19"/>
      <c r="M39" s="19"/>
      <c r="N39" s="19"/>
      <c r="O39" s="19"/>
      <c r="P39" s="18"/>
      <c r="Q39" s="19"/>
      <c r="R39" s="14"/>
      <c r="S39" s="18"/>
      <c r="T39" s="21"/>
      <c r="U39" s="21"/>
      <c r="V39" s="21"/>
      <c r="W39" s="21"/>
      <c r="X39" s="26"/>
      <c r="Y39" s="26"/>
      <c r="Z39" s="26"/>
      <c r="AA39" s="52" t="str">
        <f>IF(AND(EvalPower(E39:G39)=EvalPower(H39:Q39), EvalPower(P39)=EvalPower(U39:W39)), "", IF(AND(EvalPower(E39:G39)&lt;&gt;EvalPower(H39:Q39), EvalPower(P39)&lt;&gt;EvalPower(U39:W39)), "NG Total and Power total both mistake", IF(EvalPower(E39:G39)&lt;&gt;EvalPower(H39:Q39), "TOTAL ERROR", "POWER CUT ERROR!")))</f>
        <v/>
      </c>
    </row>
    <row r="40" spans="1:27" ht="40.5" customHeight="1">
      <c r="A40" s="18"/>
      <c r="B40" s="83"/>
      <c r="C40" s="55"/>
      <c r="D40" s="57"/>
      <c r="E40" s="40"/>
      <c r="F40" s="40"/>
      <c r="G40" s="40"/>
      <c r="H40" s="19"/>
      <c r="I40" s="19"/>
      <c r="J40" s="18"/>
      <c r="K40" s="19"/>
      <c r="L40" s="19"/>
      <c r="M40" s="19"/>
      <c r="N40" s="19"/>
      <c r="O40" s="19"/>
      <c r="P40" s="18"/>
      <c r="Q40" s="19"/>
      <c r="R40" s="14"/>
      <c r="S40" s="18"/>
      <c r="T40" s="21"/>
      <c r="U40" s="21"/>
      <c r="V40" s="21"/>
      <c r="W40" s="21"/>
      <c r="X40" s="26"/>
      <c r="Y40" s="26"/>
      <c r="Z40" s="26"/>
      <c r="AA40" s="52" t="str">
        <f>IF(AND(EvalPower(E40:G40)=EvalPower(H40:Q40), EvalPower(P40)=EvalPower(U40:W40)), "", IF(AND(EvalPower(E40:G40)&lt;&gt;EvalPower(H40:Q40), EvalPower(P40)&lt;&gt;EvalPower(U40:W40)), "NG Total and Power total both mistake", IF(EvalPower(E40:G40)&lt;&gt;EvalPower(H40:Q40), "TOTAL ERROR", "POWER CUT ERROR!")))</f>
        <v/>
      </c>
    </row>
    <row r="41" spans="1:27" ht="20.100000000000001" customHeight="1">
      <c r="A41" s="18"/>
      <c r="B41" s="83"/>
      <c r="C41" s="55"/>
      <c r="D41" s="57"/>
      <c r="E41" s="40"/>
      <c r="F41" s="40"/>
      <c r="G41" s="40"/>
      <c r="H41" s="19"/>
      <c r="I41" s="19"/>
      <c r="J41" s="18"/>
      <c r="K41" s="19"/>
      <c r="L41" s="19"/>
      <c r="M41" s="19"/>
      <c r="N41" s="19"/>
      <c r="O41" s="19"/>
      <c r="P41" s="18"/>
      <c r="Q41" s="19"/>
      <c r="R41" s="14"/>
      <c r="S41" s="18"/>
      <c r="T41" s="21"/>
      <c r="U41" s="21"/>
      <c r="V41" s="21"/>
      <c r="W41" s="21"/>
      <c r="X41" s="26"/>
      <c r="Y41" s="26"/>
      <c r="Z41" s="26"/>
      <c r="AA41" s="52" t="str">
        <f>IF(AND(EvalPower(E41:G41)=EvalPower(H41:Q41), EvalPower(P41)=EvalPower(U41:W41)), "", IF(AND(EvalPower(E41:G41)&lt;&gt;EvalPower(H41:Q41), EvalPower(P41)&lt;&gt;EvalPower(U41:W41)), "NG Total and Power total both mistake", IF(EvalPower(E41:G41)&lt;&gt;EvalPower(H41:Q41), "TOTAL ERROR", "POWER CUT ERROR!")))</f>
        <v/>
      </c>
    </row>
    <row r="42" spans="1:27" ht="33" customHeight="1">
      <c r="A42" s="18"/>
      <c r="B42" s="83"/>
      <c r="C42" s="55"/>
      <c r="D42" s="57"/>
      <c r="E42" s="40"/>
      <c r="F42" s="40"/>
      <c r="G42" s="40"/>
      <c r="H42" s="19"/>
      <c r="I42" s="19"/>
      <c r="J42" s="18"/>
      <c r="K42" s="19"/>
      <c r="L42" s="19"/>
      <c r="M42" s="19"/>
      <c r="N42" s="19"/>
      <c r="O42" s="19"/>
      <c r="P42" s="18"/>
      <c r="Q42" s="19"/>
      <c r="R42" s="14"/>
      <c r="S42" s="18"/>
      <c r="T42" s="21"/>
      <c r="U42" s="21"/>
      <c r="V42" s="21"/>
      <c r="W42" s="21"/>
      <c r="X42" s="26"/>
      <c r="Y42" s="26"/>
      <c r="Z42" s="26"/>
      <c r="AA42" s="52" t="str">
        <f t="shared" si="5"/>
        <v/>
      </c>
    </row>
    <row r="43" spans="1:27" ht="27" customHeight="1">
      <c r="A43" s="18"/>
      <c r="B43" s="83"/>
      <c r="C43" s="55"/>
      <c r="D43" s="18"/>
      <c r="E43" s="40"/>
      <c r="F43" s="40"/>
      <c r="G43" s="40"/>
      <c r="H43" s="19"/>
      <c r="I43" s="19"/>
      <c r="J43" s="18"/>
      <c r="K43" s="19"/>
      <c r="L43" s="19"/>
      <c r="M43" s="19"/>
      <c r="N43" s="19"/>
      <c r="O43" s="19"/>
      <c r="P43" s="18"/>
      <c r="Q43" s="19"/>
      <c r="R43" s="14"/>
      <c r="S43" s="18"/>
      <c r="T43" s="21"/>
      <c r="U43" s="21"/>
      <c r="V43" s="21"/>
      <c r="W43" s="21"/>
      <c r="X43" s="26"/>
      <c r="Y43" s="26"/>
      <c r="Z43" s="26"/>
      <c r="AA43" s="52" t="str">
        <f t="shared" si="5"/>
        <v/>
      </c>
    </row>
    <row r="44" spans="1:27" ht="28.5" customHeight="1">
      <c r="A44" s="18"/>
      <c r="B44" s="83"/>
      <c r="C44" s="55"/>
      <c r="D44" s="18"/>
      <c r="E44" s="40"/>
      <c r="F44" s="40"/>
      <c r="G44" s="40"/>
      <c r="H44" s="19"/>
      <c r="I44" s="19"/>
      <c r="J44" s="18"/>
      <c r="K44" s="19"/>
      <c r="L44" s="19"/>
      <c r="M44" s="19"/>
      <c r="N44" s="19"/>
      <c r="O44" s="19"/>
      <c r="P44" s="18"/>
      <c r="Q44" s="19"/>
      <c r="R44" s="14"/>
      <c r="S44" s="18"/>
      <c r="T44" s="21"/>
      <c r="U44" s="21"/>
      <c r="V44" s="21"/>
      <c r="W44" s="21"/>
      <c r="X44" s="26"/>
      <c r="Y44" s="26"/>
      <c r="Z44" s="26"/>
      <c r="AA44" s="52" t="str">
        <f t="shared" ref="AA44:AA63" si="8">IF(AND(EvalPower(E44:G44)=EvalPower(H44:Q44), EvalPower(P44)=EvalPower(U44:W44)), "", IF(AND(EvalPower(E44:G44)&lt;&gt;EvalPower(H44:Q44), EvalPower(P44)&lt;&gt;EvalPower(U44:W44)), "NG Total and Power total both mistake", IF(EvalPower(E44:G44)&lt;&gt;EvalPower(H44:Q44), "TOTAL ERROR", "POWER CUT ERROR!")))</f>
        <v/>
      </c>
    </row>
    <row r="45" spans="1:27" ht="23.25" customHeight="1">
      <c r="A45" s="18"/>
      <c r="B45" s="20"/>
      <c r="C45" s="18"/>
      <c r="D45" s="18"/>
      <c r="E45" s="40"/>
      <c r="F45" s="40"/>
      <c r="G45" s="40"/>
      <c r="H45" s="19"/>
      <c r="I45" s="19"/>
      <c r="J45" s="18"/>
      <c r="K45" s="19"/>
      <c r="L45" s="19"/>
      <c r="M45" s="19"/>
      <c r="N45" s="19"/>
      <c r="O45" s="19"/>
      <c r="P45" s="18"/>
      <c r="Q45" s="19"/>
      <c r="R45" s="14"/>
      <c r="S45" s="18"/>
      <c r="T45" s="21"/>
      <c r="U45" s="21"/>
      <c r="V45" s="21"/>
      <c r="W45" s="21"/>
      <c r="X45" s="26"/>
      <c r="Y45" s="26"/>
      <c r="Z45" s="26"/>
      <c r="AA45" s="52" t="str">
        <f>IF(AND(EvalPower(E45:G45)=EvalPower(H45:Q45), EvalPower(P45)=EvalPower(U45:W45)), "", IF(AND(EvalPower(E45:G45)&lt;&gt;EvalPower(H45:Q45), EvalPower(P45)&lt;&gt;EvalPower(U45:W45)), "NG Total and Power total both mistake", IF(EvalPower(E45:G45)&lt;&gt;EvalPower(H45:Q45), "TOTAL ERROR", "POWER CUT ERROR!")))</f>
        <v/>
      </c>
    </row>
    <row r="46" spans="1:27" ht="23.25" customHeight="1">
      <c r="A46" s="18"/>
      <c r="B46" s="20"/>
      <c r="C46" s="18"/>
      <c r="D46" s="18"/>
      <c r="E46" s="40"/>
      <c r="F46" s="40"/>
      <c r="G46" s="40"/>
      <c r="H46" s="19"/>
      <c r="I46" s="19"/>
      <c r="J46" s="18"/>
      <c r="K46" s="19"/>
      <c r="L46" s="19"/>
      <c r="M46" s="19"/>
      <c r="N46" s="19"/>
      <c r="O46" s="19"/>
      <c r="P46" s="18"/>
      <c r="Q46" s="19"/>
      <c r="R46" s="14"/>
      <c r="S46" s="18"/>
      <c r="T46" s="21"/>
      <c r="U46" s="21"/>
      <c r="V46" s="21"/>
      <c r="W46" s="21"/>
      <c r="X46" s="26"/>
      <c r="Y46" s="26"/>
      <c r="Z46" s="26"/>
      <c r="AA46" s="52" t="str">
        <f>IF(AND(EvalPower(E46:G46)=EvalPower(H46:Q46), EvalPower(P46)=EvalPower(U46:W46)), "", IF(AND(EvalPower(E46:G46)&lt;&gt;EvalPower(H46:Q46), EvalPower(P46)&lt;&gt;EvalPower(U46:W46)), "NG Total and Power total both mistake", IF(EvalPower(E46:G46)&lt;&gt;EvalPower(H46:Q46), "TOTAL ERROR", "POWER CUT ERROR!")))</f>
        <v/>
      </c>
    </row>
    <row r="47" spans="1:27" ht="23.25" customHeight="1">
      <c r="A47" s="18"/>
      <c r="B47" s="20"/>
      <c r="C47" s="18"/>
      <c r="D47" s="18"/>
      <c r="E47" s="40"/>
      <c r="F47" s="40"/>
      <c r="G47" s="40"/>
      <c r="H47" s="19"/>
      <c r="I47" s="19"/>
      <c r="J47" s="18"/>
      <c r="K47" s="19"/>
      <c r="L47" s="19"/>
      <c r="M47" s="19"/>
      <c r="N47" s="19"/>
      <c r="O47" s="19"/>
      <c r="P47" s="18"/>
      <c r="Q47" s="19"/>
      <c r="R47" s="14"/>
      <c r="S47" s="18"/>
      <c r="T47" s="21"/>
      <c r="U47" s="21"/>
      <c r="V47" s="21"/>
      <c r="W47" s="21"/>
      <c r="X47" s="26"/>
      <c r="Y47" s="26"/>
      <c r="Z47" s="26"/>
      <c r="AA47" s="52" t="str">
        <f>IF(AND(EvalPower(E47:G47)=EvalPower(H47:Q47), EvalPower(P47)=EvalPower(U47:W47)), "", IF(AND(EvalPower(E47:G47)&lt;&gt;EvalPower(H47:Q47), EvalPower(P47)&lt;&gt;EvalPower(U47:W47)), "NG Total and Power total both mistake", IF(EvalPower(E47:G47)&lt;&gt;EvalPower(H47:Q47), "TOTAL ERROR", "POWER CUT ERROR!")))</f>
        <v/>
      </c>
    </row>
    <row r="48" spans="1:27" ht="23.25" customHeight="1">
      <c r="A48" s="18"/>
      <c r="B48" s="20"/>
      <c r="C48" s="18"/>
      <c r="D48" s="18"/>
      <c r="E48" s="40"/>
      <c r="F48" s="40"/>
      <c r="G48" s="40"/>
      <c r="H48" s="19"/>
      <c r="I48" s="19"/>
      <c r="J48" s="18"/>
      <c r="K48" s="19"/>
      <c r="L48" s="19"/>
      <c r="M48" s="19"/>
      <c r="N48" s="19"/>
      <c r="O48" s="19"/>
      <c r="P48" s="18"/>
      <c r="Q48" s="19"/>
      <c r="R48" s="14"/>
      <c r="S48" s="18"/>
      <c r="T48" s="21"/>
      <c r="U48" s="21"/>
      <c r="V48" s="21"/>
      <c r="W48" s="21"/>
      <c r="X48" s="26"/>
      <c r="Y48" s="26"/>
      <c r="Z48" s="26"/>
      <c r="AA48" s="52" t="str">
        <f t="shared" ref="AA48:AA60" si="9">IF(AND(EvalPower(E48:G48)=EvalPower(H48:Q48), EvalPower(P48)=EvalPower(U48:W48)), "", IF(AND(EvalPower(E48:G48)&lt;&gt;EvalPower(H48:Q48), EvalPower(P48)&lt;&gt;EvalPower(U48:W48)), "NG Total and Power total both mistake", IF(EvalPower(E48:G48)&lt;&gt;EvalPower(H48:Q48), "TOTAL ERROR", "POWER CUT ERROR!")))</f>
        <v/>
      </c>
    </row>
    <row r="49" spans="1:27" ht="26.25" customHeight="1">
      <c r="A49" s="18"/>
      <c r="B49" s="20"/>
      <c r="C49" s="18"/>
      <c r="D49" s="18"/>
      <c r="E49" s="40"/>
      <c r="F49" s="40"/>
      <c r="G49" s="40"/>
      <c r="H49" s="19"/>
      <c r="I49" s="19"/>
      <c r="J49" s="18"/>
      <c r="K49" s="19"/>
      <c r="L49" s="19"/>
      <c r="M49" s="19"/>
      <c r="N49" s="19"/>
      <c r="O49" s="19"/>
      <c r="P49" s="18"/>
      <c r="Q49" s="19"/>
      <c r="R49" s="14"/>
      <c r="S49" s="18"/>
      <c r="T49" s="21"/>
      <c r="U49" s="21"/>
      <c r="V49" s="21"/>
      <c r="W49" s="21"/>
      <c r="X49" s="26"/>
      <c r="Y49" s="26"/>
      <c r="Z49" s="26"/>
      <c r="AA49" s="52" t="str">
        <f t="shared" si="9"/>
        <v/>
      </c>
    </row>
    <row r="50" spans="1:27" ht="26.25" customHeight="1">
      <c r="A50" s="18"/>
      <c r="B50" s="20"/>
      <c r="C50" s="18"/>
      <c r="D50" s="18"/>
      <c r="E50" s="40"/>
      <c r="F50" s="40"/>
      <c r="G50" s="40"/>
      <c r="H50" s="19"/>
      <c r="I50" s="19"/>
      <c r="J50" s="18"/>
      <c r="K50" s="19"/>
      <c r="L50" s="19"/>
      <c r="M50" s="19"/>
      <c r="N50" s="19"/>
      <c r="O50" s="19"/>
      <c r="P50" s="18"/>
      <c r="Q50" s="19"/>
      <c r="R50" s="14"/>
      <c r="S50" s="18"/>
      <c r="T50" s="21"/>
      <c r="U50" s="21"/>
      <c r="V50" s="21"/>
      <c r="W50" s="21"/>
      <c r="X50" s="26"/>
      <c r="Y50" s="26"/>
      <c r="Z50" s="26"/>
      <c r="AA50" s="52" t="str">
        <f t="shared" si="9"/>
        <v/>
      </c>
    </row>
    <row r="51" spans="1:27" ht="26.25" customHeight="1">
      <c r="A51" s="18"/>
      <c r="B51" s="20"/>
      <c r="C51" s="18"/>
      <c r="D51" s="18"/>
      <c r="E51" s="40"/>
      <c r="F51" s="40"/>
      <c r="G51" s="40"/>
      <c r="H51" s="19"/>
      <c r="I51" s="19"/>
      <c r="J51" s="18"/>
      <c r="K51" s="19"/>
      <c r="L51" s="19"/>
      <c r="M51" s="19"/>
      <c r="N51" s="19"/>
      <c r="O51" s="19"/>
      <c r="P51" s="18"/>
      <c r="Q51" s="19"/>
      <c r="R51" s="14"/>
      <c r="S51" s="18"/>
      <c r="T51" s="21"/>
      <c r="U51" s="21"/>
      <c r="V51" s="21"/>
      <c r="W51" s="21"/>
      <c r="X51" s="26"/>
      <c r="Y51" s="26"/>
      <c r="Z51" s="26"/>
      <c r="AA51" s="52" t="str">
        <f t="shared" si="9"/>
        <v/>
      </c>
    </row>
    <row r="52" spans="1:27" ht="26.25" customHeight="1">
      <c r="A52" s="18"/>
      <c r="B52" s="20"/>
      <c r="C52" s="18"/>
      <c r="D52" s="18"/>
      <c r="E52" s="40"/>
      <c r="F52" s="40"/>
      <c r="G52" s="40"/>
      <c r="H52" s="19"/>
      <c r="I52" s="19"/>
      <c r="J52" s="18"/>
      <c r="K52" s="19"/>
      <c r="L52" s="19"/>
      <c r="M52" s="19"/>
      <c r="N52" s="19"/>
      <c r="O52" s="19"/>
      <c r="P52" s="18"/>
      <c r="Q52" s="19"/>
      <c r="R52" s="14"/>
      <c r="S52" s="18"/>
      <c r="T52" s="21"/>
      <c r="U52" s="21"/>
      <c r="V52" s="21"/>
      <c r="W52" s="21"/>
      <c r="X52" s="26"/>
      <c r="Y52" s="26"/>
      <c r="Z52" s="26"/>
      <c r="AA52" s="52" t="str">
        <f t="shared" si="9"/>
        <v/>
      </c>
    </row>
    <row r="53" spans="1:27" ht="26.25" customHeight="1">
      <c r="A53" s="18"/>
      <c r="B53" s="20"/>
      <c r="C53" s="18"/>
      <c r="D53" s="18"/>
      <c r="E53" s="40"/>
      <c r="F53" s="40"/>
      <c r="G53" s="40"/>
      <c r="H53" s="19"/>
      <c r="I53" s="19"/>
      <c r="J53" s="18"/>
      <c r="K53" s="19"/>
      <c r="L53" s="19"/>
      <c r="M53" s="19"/>
      <c r="N53" s="19"/>
      <c r="O53" s="19"/>
      <c r="P53" s="18"/>
      <c r="Q53" s="19"/>
      <c r="R53" s="14"/>
      <c r="S53" s="18"/>
      <c r="T53" s="21"/>
      <c r="U53" s="21"/>
      <c r="V53" s="21"/>
      <c r="W53" s="21"/>
      <c r="X53" s="26"/>
      <c r="Y53" s="26"/>
      <c r="Z53" s="26"/>
      <c r="AA53" s="52" t="str">
        <f t="shared" si="9"/>
        <v/>
      </c>
    </row>
    <row r="54" spans="1:27" ht="26.25" customHeight="1">
      <c r="A54" s="18"/>
      <c r="B54" s="20"/>
      <c r="C54" s="18"/>
      <c r="D54" s="18"/>
      <c r="E54" s="40"/>
      <c r="F54" s="40"/>
      <c r="G54" s="40"/>
      <c r="H54" s="19"/>
      <c r="I54" s="19"/>
      <c r="J54" s="18"/>
      <c r="K54" s="19"/>
      <c r="L54" s="19"/>
      <c r="M54" s="19"/>
      <c r="N54" s="19"/>
      <c r="O54" s="19"/>
      <c r="P54" s="18"/>
      <c r="Q54" s="19"/>
      <c r="R54" s="14"/>
      <c r="S54" s="18"/>
      <c r="T54" s="21"/>
      <c r="U54" s="21"/>
      <c r="V54" s="21"/>
      <c r="W54" s="21"/>
      <c r="X54" s="26"/>
      <c r="Y54" s="26"/>
      <c r="Z54" s="26"/>
      <c r="AA54" s="52" t="str">
        <f t="shared" si="9"/>
        <v/>
      </c>
    </row>
    <row r="55" spans="1:27" ht="26.25" customHeight="1">
      <c r="A55" s="18"/>
      <c r="B55" s="20"/>
      <c r="C55" s="18"/>
      <c r="D55" s="18"/>
      <c r="E55" s="40"/>
      <c r="F55" s="40"/>
      <c r="G55" s="40"/>
      <c r="H55" s="19"/>
      <c r="I55" s="19"/>
      <c r="J55" s="18"/>
      <c r="K55" s="19"/>
      <c r="L55" s="19"/>
      <c r="M55" s="19"/>
      <c r="N55" s="19"/>
      <c r="O55" s="19"/>
      <c r="P55" s="18"/>
      <c r="Q55" s="19"/>
      <c r="R55" s="14"/>
      <c r="S55" s="18"/>
      <c r="T55" s="21"/>
      <c r="U55" s="21"/>
      <c r="V55" s="21"/>
      <c r="W55" s="21"/>
      <c r="X55" s="26"/>
      <c r="Y55" s="26"/>
      <c r="Z55" s="26"/>
      <c r="AA55" s="52" t="str">
        <f t="shared" si="9"/>
        <v/>
      </c>
    </row>
    <row r="56" spans="1:27" ht="26.25" customHeight="1">
      <c r="A56" s="18"/>
      <c r="B56" s="20"/>
      <c r="C56" s="18"/>
      <c r="D56" s="18"/>
      <c r="E56" s="40"/>
      <c r="F56" s="40"/>
      <c r="G56" s="40"/>
      <c r="H56" s="19"/>
      <c r="I56" s="19"/>
      <c r="J56" s="18"/>
      <c r="K56" s="19"/>
      <c r="L56" s="19"/>
      <c r="M56" s="19"/>
      <c r="N56" s="19"/>
      <c r="O56" s="19"/>
      <c r="P56" s="18"/>
      <c r="Q56" s="19"/>
      <c r="R56" s="14"/>
      <c r="S56" s="18"/>
      <c r="T56" s="21"/>
      <c r="U56" s="21"/>
      <c r="V56" s="21"/>
      <c r="W56" s="21"/>
      <c r="X56" s="26"/>
      <c r="Y56" s="26"/>
      <c r="Z56" s="26"/>
      <c r="AA56" s="52" t="str">
        <f t="shared" si="9"/>
        <v/>
      </c>
    </row>
    <row r="57" spans="1:27" ht="26.25" customHeight="1">
      <c r="A57" s="18"/>
      <c r="B57" s="20"/>
      <c r="C57" s="18"/>
      <c r="D57" s="18"/>
      <c r="E57" s="40"/>
      <c r="F57" s="40"/>
      <c r="G57" s="40"/>
      <c r="H57" s="19"/>
      <c r="I57" s="19"/>
      <c r="J57" s="18"/>
      <c r="K57" s="19"/>
      <c r="L57" s="19"/>
      <c r="M57" s="19"/>
      <c r="N57" s="19"/>
      <c r="O57" s="19"/>
      <c r="P57" s="18"/>
      <c r="Q57" s="19"/>
      <c r="R57" s="14"/>
      <c r="S57" s="18"/>
      <c r="T57" s="21"/>
      <c r="U57" s="21"/>
      <c r="V57" s="21"/>
      <c r="W57" s="21"/>
      <c r="X57" s="26"/>
      <c r="Y57" s="26"/>
      <c r="Z57" s="26"/>
      <c r="AA57" s="52" t="str">
        <f t="shared" si="9"/>
        <v/>
      </c>
    </row>
    <row r="58" spans="1:27" ht="26.25" customHeight="1">
      <c r="A58" s="18"/>
      <c r="B58" s="20"/>
      <c r="C58" s="18"/>
      <c r="D58" s="18"/>
      <c r="E58" s="40"/>
      <c r="F58" s="40"/>
      <c r="G58" s="40"/>
      <c r="H58" s="19"/>
      <c r="I58" s="19"/>
      <c r="J58" s="18"/>
      <c r="K58" s="19"/>
      <c r="L58" s="19"/>
      <c r="M58" s="19"/>
      <c r="N58" s="19"/>
      <c r="O58" s="19"/>
      <c r="P58" s="18"/>
      <c r="Q58" s="19"/>
      <c r="R58" s="14"/>
      <c r="S58" s="18"/>
      <c r="T58" s="21"/>
      <c r="U58" s="21"/>
      <c r="V58" s="21"/>
      <c r="W58" s="21"/>
      <c r="X58" s="26"/>
      <c r="Y58" s="26"/>
      <c r="Z58" s="26"/>
      <c r="AA58" s="52" t="str">
        <f t="shared" si="9"/>
        <v/>
      </c>
    </row>
    <row r="59" spans="1:27" ht="26.25" customHeight="1">
      <c r="A59" s="18"/>
      <c r="B59" s="20"/>
      <c r="C59" s="18"/>
      <c r="D59" s="18"/>
      <c r="E59" s="40"/>
      <c r="F59" s="40"/>
      <c r="G59" s="40"/>
      <c r="H59" s="19"/>
      <c r="I59" s="19"/>
      <c r="J59" s="18"/>
      <c r="K59" s="19"/>
      <c r="L59" s="19"/>
      <c r="M59" s="19"/>
      <c r="N59" s="19"/>
      <c r="O59" s="19"/>
      <c r="P59" s="18"/>
      <c r="Q59" s="19"/>
      <c r="R59" s="14"/>
      <c r="S59" s="18"/>
      <c r="T59" s="21"/>
      <c r="U59" s="21"/>
      <c r="V59" s="21"/>
      <c r="W59" s="21"/>
      <c r="X59" s="26"/>
      <c r="Y59" s="26"/>
      <c r="Z59" s="26"/>
      <c r="AA59" s="52" t="str">
        <f t="shared" si="9"/>
        <v/>
      </c>
    </row>
    <row r="60" spans="1:27" ht="26.25" customHeight="1">
      <c r="A60" s="18"/>
      <c r="B60" s="20"/>
      <c r="C60" s="18"/>
      <c r="D60" s="18"/>
      <c r="E60" s="40"/>
      <c r="F60" s="40"/>
      <c r="G60" s="40"/>
      <c r="H60" s="19"/>
      <c r="I60" s="19"/>
      <c r="J60" s="18"/>
      <c r="K60" s="19"/>
      <c r="L60" s="19"/>
      <c r="M60" s="19"/>
      <c r="N60" s="19"/>
      <c r="O60" s="19"/>
      <c r="P60" s="18"/>
      <c r="Q60" s="19"/>
      <c r="R60" s="14"/>
      <c r="S60" s="18"/>
      <c r="T60" s="21"/>
      <c r="U60" s="21"/>
      <c r="V60" s="21"/>
      <c r="W60" s="21"/>
      <c r="X60" s="26"/>
      <c r="Y60" s="26"/>
      <c r="Z60" s="26"/>
      <c r="AA60" s="52" t="str">
        <f t="shared" si="9"/>
        <v/>
      </c>
    </row>
    <row r="61" spans="1:27" ht="26.25" customHeight="1">
      <c r="A61" s="18"/>
      <c r="B61" s="20"/>
      <c r="C61" s="18"/>
      <c r="D61" s="18"/>
      <c r="E61" s="40"/>
      <c r="F61" s="40"/>
      <c r="G61" s="40"/>
      <c r="H61" s="19"/>
      <c r="I61" s="19"/>
      <c r="J61" s="18"/>
      <c r="K61" s="19"/>
      <c r="L61" s="19"/>
      <c r="M61" s="19"/>
      <c r="N61" s="19"/>
      <c r="O61" s="19"/>
      <c r="P61" s="18"/>
      <c r="Q61" s="19"/>
      <c r="R61" s="14"/>
      <c r="S61" s="18"/>
      <c r="T61" s="21"/>
      <c r="U61" s="21"/>
      <c r="V61" s="21"/>
      <c r="W61" s="21"/>
      <c r="X61" s="26"/>
      <c r="Y61" s="26"/>
      <c r="Z61" s="26"/>
      <c r="AA61" s="52" t="str">
        <f t="shared" si="8"/>
        <v/>
      </c>
    </row>
    <row r="62" spans="1:27" ht="29.25" customHeight="1">
      <c r="A62" s="18"/>
      <c r="B62" s="20"/>
      <c r="C62" s="18"/>
      <c r="D62" s="18"/>
      <c r="E62" s="40"/>
      <c r="F62" s="40"/>
      <c r="G62" s="40"/>
      <c r="H62" s="19"/>
      <c r="I62" s="19"/>
      <c r="J62" s="18"/>
      <c r="K62" s="19"/>
      <c r="L62" s="19"/>
      <c r="M62" s="19"/>
      <c r="N62" s="19"/>
      <c r="O62" s="19"/>
      <c r="P62" s="18"/>
      <c r="Q62" s="19"/>
      <c r="R62" s="14"/>
      <c r="S62" s="18"/>
      <c r="T62" s="21"/>
      <c r="U62" s="21"/>
      <c r="V62" s="21"/>
      <c r="W62" s="21"/>
      <c r="X62" s="26"/>
      <c r="Y62" s="26"/>
      <c r="Z62" s="26"/>
      <c r="AA62" s="52" t="str">
        <f t="shared" si="8"/>
        <v/>
      </c>
    </row>
    <row r="63" spans="1:27" ht="30" customHeight="1">
      <c r="A63" s="18"/>
      <c r="B63" s="20"/>
      <c r="C63" s="18"/>
      <c r="D63" s="18"/>
      <c r="E63" s="40"/>
      <c r="F63" s="40"/>
      <c r="G63" s="40"/>
      <c r="H63" s="19"/>
      <c r="I63" s="19"/>
      <c r="J63" s="18"/>
      <c r="K63" s="19"/>
      <c r="L63" s="19"/>
      <c r="M63" s="19"/>
      <c r="N63" s="19"/>
      <c r="O63" s="19"/>
      <c r="P63" s="18"/>
      <c r="Q63" s="19"/>
      <c r="R63" s="14"/>
      <c r="S63" s="18"/>
      <c r="T63" s="21"/>
      <c r="U63" s="21"/>
      <c r="V63" s="21"/>
      <c r="W63" s="21"/>
      <c r="X63" s="26"/>
      <c r="Y63" s="26"/>
      <c r="Z63" s="26"/>
      <c r="AA63" s="52" t="str">
        <f t="shared" si="8"/>
        <v/>
      </c>
    </row>
    <row r="64" spans="1:27" ht="21.75" customHeight="1">
      <c r="A64" s="18"/>
      <c r="B64" s="20"/>
      <c r="C64" s="18"/>
      <c r="D64" s="18"/>
      <c r="E64" s="40"/>
      <c r="F64" s="40"/>
      <c r="G64" s="40"/>
      <c r="H64" s="19"/>
      <c r="I64" s="19"/>
      <c r="J64" s="18"/>
      <c r="K64" s="19"/>
      <c r="L64" s="19"/>
      <c r="M64" s="19"/>
      <c r="N64" s="19"/>
      <c r="O64" s="19"/>
      <c r="P64" s="18"/>
      <c r="Q64" s="19"/>
      <c r="R64" s="14"/>
      <c r="S64" s="18"/>
      <c r="T64" s="21"/>
      <c r="U64" s="21"/>
      <c r="V64" s="21"/>
      <c r="W64" s="21"/>
      <c r="X64" s="26"/>
      <c r="Y64" s="26"/>
      <c r="Z64" s="26"/>
      <c r="AA64" s="52" t="str">
        <f t="shared" ref="AA64:AA69" si="10">IF(AND(EvalPower(E64:G64)=EvalPower(H64:Q64), EvalPower(P64)=EvalPower(U64:W64)), "", IF(AND(EvalPower(E64:G64)&lt;&gt;EvalPower(H64:Q64), EvalPower(P64)&lt;&gt;EvalPower(U64:W64)), "NG Total and Power total both mistake", IF(EvalPower(E64:G64)&lt;&gt;EvalPower(H64:Q64), "TOTAL ERROR", "POWER CUT ERROR!")))</f>
        <v/>
      </c>
    </row>
    <row r="65" spans="1:27" ht="21.75" customHeight="1">
      <c r="A65" s="18"/>
      <c r="B65" s="20"/>
      <c r="C65" s="18"/>
      <c r="D65" s="18"/>
      <c r="E65" s="40"/>
      <c r="F65" s="40"/>
      <c r="G65" s="40"/>
      <c r="H65" s="19"/>
      <c r="I65" s="19"/>
      <c r="J65" s="18"/>
      <c r="K65" s="19"/>
      <c r="L65" s="19"/>
      <c r="M65" s="19"/>
      <c r="N65" s="19"/>
      <c r="O65" s="19"/>
      <c r="P65" s="18"/>
      <c r="Q65" s="19"/>
      <c r="R65" s="14"/>
      <c r="S65" s="18"/>
      <c r="T65" s="21"/>
      <c r="U65" s="21"/>
      <c r="V65" s="21"/>
      <c r="W65" s="21"/>
      <c r="X65" s="26"/>
      <c r="Y65" s="26"/>
      <c r="Z65" s="26"/>
      <c r="AA65" s="52" t="str">
        <f>IF(AND(EvalPower(E65:G65)=EvalPower(H65:Q65), EvalPower(P65)=EvalPower(U65:W65)), "", IF(AND(EvalPower(E65:G65)&lt;&gt;EvalPower(H65:Q65), EvalPower(P65)&lt;&gt;EvalPower(U65:W65)), "NG Total and Power total both mistake", IF(EvalPower(E65:G65)&lt;&gt;EvalPower(H65:Q65), "TOTAL ERROR", "POWER CUT ERROR!")))</f>
        <v/>
      </c>
    </row>
    <row r="66" spans="1:27" ht="20.100000000000001" customHeight="1">
      <c r="A66" s="18"/>
      <c r="B66" s="20"/>
      <c r="C66" s="18"/>
      <c r="D66" s="18"/>
      <c r="E66" s="40"/>
      <c r="F66" s="40"/>
      <c r="G66" s="40"/>
      <c r="H66" s="19"/>
      <c r="I66" s="19"/>
      <c r="J66" s="18"/>
      <c r="K66" s="19"/>
      <c r="L66" s="19"/>
      <c r="M66" s="19"/>
      <c r="N66" s="19"/>
      <c r="O66" s="19"/>
      <c r="P66" s="18"/>
      <c r="Q66" s="19"/>
      <c r="R66" s="14"/>
      <c r="S66" s="18"/>
      <c r="T66" s="21"/>
      <c r="U66" s="21"/>
      <c r="V66" s="21"/>
      <c r="W66" s="21"/>
      <c r="X66" s="26"/>
      <c r="Y66" s="26"/>
      <c r="Z66" s="26"/>
      <c r="AA66" s="52" t="str">
        <f>IF(AND(EvalPower(E66:G66)=EvalPower(H66:Q66), EvalPower(P66)=EvalPower(U66:W66)), "", IF(AND(EvalPower(E66:G66)&lt;&gt;EvalPower(H66:Q66), EvalPower(P66)&lt;&gt;EvalPower(U66:W66)), "NG Total and Power total both mistake", IF(EvalPower(E66:G66)&lt;&gt;EvalPower(H66:Q66), "TOTAL ERROR", "POWER CUT ERROR!")))</f>
        <v/>
      </c>
    </row>
    <row r="67" spans="1:27" ht="20.100000000000001" customHeight="1">
      <c r="A67" s="18"/>
      <c r="B67" s="20"/>
      <c r="C67" s="18"/>
      <c r="D67" s="18"/>
      <c r="E67" s="40"/>
      <c r="F67" s="40"/>
      <c r="G67" s="40"/>
      <c r="H67" s="19"/>
      <c r="I67" s="19"/>
      <c r="J67" s="18"/>
      <c r="K67" s="19"/>
      <c r="L67" s="19"/>
      <c r="M67" s="19"/>
      <c r="N67" s="19"/>
      <c r="O67" s="19"/>
      <c r="P67" s="18"/>
      <c r="Q67" s="19"/>
      <c r="R67" s="14"/>
      <c r="S67" s="18"/>
      <c r="T67" s="21"/>
      <c r="U67" s="21"/>
      <c r="V67" s="21"/>
      <c r="W67" s="21"/>
      <c r="X67" s="26"/>
      <c r="Y67" s="26"/>
      <c r="Z67" s="26"/>
      <c r="AA67" s="52" t="str">
        <f t="shared" si="10"/>
        <v/>
      </c>
    </row>
    <row r="68" spans="1:27" ht="22.5" customHeight="1">
      <c r="A68" s="18"/>
      <c r="B68" s="20"/>
      <c r="C68" s="18"/>
      <c r="D68" s="18"/>
      <c r="E68" s="40"/>
      <c r="F68" s="40"/>
      <c r="G68" s="40"/>
      <c r="H68" s="19"/>
      <c r="I68" s="19"/>
      <c r="J68" s="18"/>
      <c r="K68" s="19"/>
      <c r="L68" s="19"/>
      <c r="M68" s="19"/>
      <c r="N68" s="19"/>
      <c r="O68" s="19"/>
      <c r="P68" s="18"/>
      <c r="Q68" s="19"/>
      <c r="R68" s="14"/>
      <c r="S68" s="18"/>
      <c r="T68" s="21"/>
      <c r="U68" s="21"/>
      <c r="V68" s="21"/>
      <c r="W68" s="21"/>
      <c r="X68" s="26"/>
      <c r="Y68" s="26"/>
      <c r="Z68" s="26"/>
      <c r="AA68" s="52" t="str">
        <f>IF(AND(EvalPower(E68:G68)=EvalPower(H68:Q68), EvalPower(P68)=EvalPower(U68:W68)), "", IF(AND(EvalPower(E68:G68)&lt;&gt;EvalPower(H68:Q68), EvalPower(P68)&lt;&gt;EvalPower(U68:W68)), "NG Total and Power total both mistake", IF(EvalPower(E68:G68)&lt;&gt;EvalPower(H68:Q68), "TOTAL ERROR", "POWER CUT ERROR!")))</f>
        <v/>
      </c>
    </row>
    <row r="69" spans="1:27" ht="20.100000000000001" customHeight="1">
      <c r="A69" s="18"/>
      <c r="B69" s="20"/>
      <c r="C69" s="18"/>
      <c r="D69" s="18"/>
      <c r="E69" s="40"/>
      <c r="F69" s="40"/>
      <c r="G69" s="40"/>
      <c r="H69" s="19"/>
      <c r="I69" s="19"/>
      <c r="J69" s="18"/>
      <c r="K69" s="19"/>
      <c r="L69" s="19"/>
      <c r="M69" s="19"/>
      <c r="N69" s="19"/>
      <c r="O69" s="19"/>
      <c r="P69" s="18"/>
      <c r="Q69" s="19"/>
      <c r="R69" s="14"/>
      <c r="S69" s="18"/>
      <c r="T69" s="21"/>
      <c r="U69" s="21"/>
      <c r="V69" s="21"/>
      <c r="W69" s="21"/>
      <c r="X69" s="26"/>
      <c r="Y69" s="26"/>
      <c r="Z69" s="26"/>
      <c r="AA69" s="52" t="str">
        <f t="shared" si="10"/>
        <v/>
      </c>
    </row>
    <row r="70" spans="1:27" ht="20.100000000000001" customHeight="1">
      <c r="A70" s="18"/>
      <c r="B70" s="20"/>
      <c r="C70" s="18"/>
      <c r="D70" s="18"/>
      <c r="E70" s="40"/>
      <c r="F70" s="40"/>
      <c r="G70" s="40"/>
      <c r="H70" s="19"/>
      <c r="I70" s="19"/>
      <c r="J70" s="18"/>
      <c r="K70" s="19"/>
      <c r="L70" s="19"/>
      <c r="M70" s="19"/>
      <c r="N70" s="19"/>
      <c r="O70" s="19"/>
      <c r="P70" s="18"/>
      <c r="Q70" s="19"/>
      <c r="R70" s="14"/>
      <c r="S70" s="18"/>
      <c r="T70" s="21"/>
      <c r="U70" s="21"/>
      <c r="V70" s="21"/>
      <c r="W70" s="21"/>
      <c r="X70" s="26"/>
      <c r="Y70" s="26"/>
      <c r="Z70" s="26"/>
      <c r="AA70" s="52" t="str">
        <f t="shared" ref="AA70:AA73" si="11">IF(AND(EvalPower(E70:G70)=EvalPower(H70:Q70), EvalPower(P70)=EvalPower(U70:W70)), "", IF(AND(EvalPower(E70:G70)&lt;&gt;EvalPower(H70:Q70), EvalPower(P70)&lt;&gt;EvalPower(U70:W70)), "NG Total and Power total both mistake", IF(EvalPower(E70:G70)&lt;&gt;EvalPower(H70:Q70), "TOTAL ERROR", "POWER CUT ERROR!")))</f>
        <v/>
      </c>
    </row>
    <row r="71" spans="1:27" ht="22.5" customHeight="1">
      <c r="A71" s="18"/>
      <c r="B71" s="20"/>
      <c r="C71" s="18"/>
      <c r="D71" s="18"/>
      <c r="E71" s="40"/>
      <c r="F71" s="40"/>
      <c r="G71" s="40"/>
      <c r="H71" s="19"/>
      <c r="I71" s="19"/>
      <c r="J71" s="18"/>
      <c r="K71" s="19"/>
      <c r="L71" s="19"/>
      <c r="M71" s="19"/>
      <c r="N71" s="19"/>
      <c r="O71" s="19"/>
      <c r="P71" s="18"/>
      <c r="Q71" s="19"/>
      <c r="R71" s="14"/>
      <c r="S71" s="18"/>
      <c r="T71" s="21"/>
      <c r="U71" s="21"/>
      <c r="V71" s="21"/>
      <c r="W71" s="21"/>
      <c r="X71" s="26"/>
      <c r="Y71" s="26"/>
      <c r="Z71" s="26"/>
      <c r="AA71" s="52" t="str">
        <f>IF(AND(EvalPower(E71:G71)=EvalPower(H71:Q71), EvalPower(P71)=EvalPower(U71:W71)), "", IF(AND(EvalPower(E71:G71)&lt;&gt;EvalPower(H71:Q71), EvalPower(P71)&lt;&gt;EvalPower(U71:W71)), "NG Total and Power total both mistake", IF(EvalPower(E71:G71)&lt;&gt;EvalPower(H71:Q71), "TOTAL ERROR", "POWER CUT ERROR!")))</f>
        <v/>
      </c>
    </row>
    <row r="72" spans="1:27" ht="20.100000000000001" customHeight="1">
      <c r="A72" s="18"/>
      <c r="B72" s="20"/>
      <c r="C72" s="18"/>
      <c r="D72" s="18"/>
      <c r="E72" s="40"/>
      <c r="F72" s="40"/>
      <c r="G72" s="40"/>
      <c r="H72" s="19"/>
      <c r="I72" s="19"/>
      <c r="J72" s="18"/>
      <c r="K72" s="19"/>
      <c r="L72" s="19"/>
      <c r="M72" s="19"/>
      <c r="N72" s="19"/>
      <c r="O72" s="19"/>
      <c r="P72" s="18"/>
      <c r="Q72" s="19"/>
      <c r="R72" s="14"/>
      <c r="S72" s="18"/>
      <c r="T72" s="21"/>
      <c r="U72" s="21"/>
      <c r="V72" s="21"/>
      <c r="W72" s="21"/>
      <c r="X72" s="26"/>
      <c r="Y72" s="26"/>
      <c r="Z72" s="26"/>
      <c r="AA72" s="52" t="str">
        <f t="shared" si="11"/>
        <v/>
      </c>
    </row>
    <row r="73" spans="1:27" ht="20.100000000000001" customHeight="1">
      <c r="A73" s="18"/>
      <c r="B73" s="20"/>
      <c r="C73" s="18"/>
      <c r="D73" s="18"/>
      <c r="E73" s="40"/>
      <c r="F73" s="40"/>
      <c r="G73" s="40"/>
      <c r="H73" s="19"/>
      <c r="I73" s="19"/>
      <c r="J73" s="18"/>
      <c r="K73" s="19"/>
      <c r="L73" s="19"/>
      <c r="M73" s="19"/>
      <c r="N73" s="19"/>
      <c r="O73" s="19"/>
      <c r="P73" s="18"/>
      <c r="Q73" s="19"/>
      <c r="R73" s="14"/>
      <c r="S73" s="18"/>
      <c r="T73" s="21"/>
      <c r="U73" s="21"/>
      <c r="V73" s="21"/>
      <c r="W73" s="21"/>
      <c r="X73" s="26"/>
      <c r="Y73" s="26"/>
      <c r="Z73" s="26"/>
      <c r="AA73" s="52" t="str">
        <f t="shared" si="11"/>
        <v/>
      </c>
    </row>
    <row r="74" spans="1:27" ht="20.100000000000001" customHeight="1">
      <c r="A74" s="55"/>
      <c r="B74" s="83"/>
      <c r="C74" s="55"/>
      <c r="D74" s="55"/>
      <c r="E74" s="40"/>
      <c r="F74" s="40"/>
      <c r="G74" s="40"/>
      <c r="H74" s="85"/>
      <c r="I74" s="85"/>
      <c r="J74" s="55"/>
      <c r="K74" s="85"/>
      <c r="L74" s="85"/>
      <c r="M74" s="85"/>
      <c r="N74" s="85"/>
      <c r="O74" s="85"/>
      <c r="P74" s="55"/>
      <c r="Q74" s="85"/>
      <c r="R74" s="66"/>
      <c r="S74" s="55"/>
      <c r="T74" s="68"/>
      <c r="U74" s="68"/>
      <c r="V74" s="68"/>
      <c r="W74" s="68"/>
      <c r="X74" s="84"/>
      <c r="Y74" s="84"/>
      <c r="Z74" s="84"/>
    </row>
    <row r="75" spans="1:27" customFormat="1" ht="20.100000000000001" customHeight="1">
      <c r="E75" s="40"/>
      <c r="F75" s="40"/>
      <c r="G75" s="40"/>
      <c r="AA75" t="str">
        <f t="shared" ref="AA75:AA106" si="12">IF(AND(EvalPower(E75:G75)=EvalPower(H75:Q75), EvalPower(P75)=EvalPower(U75:W75)), "", IF(AND(EvalPower(E75:G75)&lt;&gt;EvalPower(H75:Q75), EvalPower(P75)&lt;&gt;EvalPower(U75:W75)), "NG Total and Power total both mistake", IF(EvalPower(E75:G75)&lt;&gt;EvalPower(H75:Q75), "TOTAL ERROR", "POWER CUT ERROR!")))</f>
        <v/>
      </c>
    </row>
    <row r="76" spans="1:27" customFormat="1" ht="20.100000000000001" customHeight="1">
      <c r="E76" s="40"/>
      <c r="F76" s="40"/>
      <c r="G76" s="40"/>
      <c r="AA76" t="str">
        <f t="shared" si="12"/>
        <v/>
      </c>
    </row>
    <row r="77" spans="1:27" customFormat="1" ht="20.100000000000001" customHeight="1">
      <c r="E77" s="40"/>
      <c r="F77" s="40"/>
      <c r="G77" s="40"/>
      <c r="AA77" t="str">
        <f t="shared" si="12"/>
        <v/>
      </c>
    </row>
    <row r="78" spans="1:27" customFormat="1" ht="20.100000000000001" customHeight="1">
      <c r="E78" s="40"/>
      <c r="F78" s="40"/>
      <c r="G78" s="40"/>
      <c r="AA78" t="str">
        <f t="shared" si="12"/>
        <v/>
      </c>
    </row>
    <row r="79" spans="1:27" customFormat="1" ht="20.100000000000001" customHeight="1">
      <c r="E79" s="40"/>
      <c r="F79" s="40"/>
      <c r="G79" s="40"/>
      <c r="AA79" t="str">
        <f t="shared" si="12"/>
        <v/>
      </c>
    </row>
    <row r="80" spans="1:27" customFormat="1" ht="20.100000000000001" customHeight="1">
      <c r="E80" s="40"/>
      <c r="F80" s="40"/>
      <c r="G80" s="40"/>
      <c r="AA80" t="str">
        <f t="shared" si="12"/>
        <v/>
      </c>
    </row>
    <row r="81" spans="5:27" customFormat="1" ht="20.100000000000001" customHeight="1">
      <c r="E81" s="40"/>
      <c r="F81" s="40"/>
      <c r="G81" s="40"/>
      <c r="AA81" t="str">
        <f t="shared" si="12"/>
        <v/>
      </c>
    </row>
    <row r="82" spans="5:27" customFormat="1" ht="22.5" customHeight="1">
      <c r="E82" s="40"/>
      <c r="F82" s="40"/>
      <c r="G82" s="40"/>
      <c r="AA82" t="str">
        <f t="shared" si="12"/>
        <v/>
      </c>
    </row>
    <row r="83" spans="5:27" customFormat="1" ht="22.5" customHeight="1">
      <c r="E83" s="40"/>
      <c r="F83" s="40"/>
      <c r="G83" s="40"/>
      <c r="AA83" t="str">
        <f t="shared" si="12"/>
        <v/>
      </c>
    </row>
    <row r="84" spans="5:27" customFormat="1" ht="20.100000000000001" customHeight="1">
      <c r="E84" s="40"/>
      <c r="F84" s="40"/>
      <c r="G84" s="40"/>
      <c r="AA84" t="str">
        <f t="shared" si="12"/>
        <v/>
      </c>
    </row>
    <row r="85" spans="5:27" customFormat="1" ht="20.100000000000001" customHeight="1">
      <c r="E85" s="40"/>
      <c r="F85" s="40"/>
      <c r="G85" s="40"/>
      <c r="AA85" t="str">
        <f t="shared" si="12"/>
        <v/>
      </c>
    </row>
    <row r="86" spans="5:27" customFormat="1" ht="20.100000000000001" customHeight="1">
      <c r="E86" s="40"/>
      <c r="F86" s="40"/>
      <c r="G86" s="40"/>
      <c r="AA86" t="str">
        <f t="shared" si="12"/>
        <v/>
      </c>
    </row>
    <row r="87" spans="5:27" customFormat="1" ht="20.100000000000001" customHeight="1">
      <c r="E87" s="40"/>
      <c r="F87" s="40"/>
      <c r="G87" s="40"/>
      <c r="AA87" t="str">
        <f t="shared" si="12"/>
        <v/>
      </c>
    </row>
    <row r="88" spans="5:27" customFormat="1" ht="20.100000000000001" customHeight="1">
      <c r="E88" s="40"/>
      <c r="F88" s="40"/>
      <c r="G88" s="40"/>
      <c r="AA88" t="str">
        <f t="shared" si="12"/>
        <v/>
      </c>
    </row>
    <row r="89" spans="5:27" customFormat="1" ht="20.100000000000001" customHeight="1">
      <c r="E89" s="40"/>
      <c r="F89" s="40"/>
      <c r="G89" s="40"/>
      <c r="AA89" t="str">
        <f t="shared" si="12"/>
        <v/>
      </c>
    </row>
    <row r="90" spans="5:27" customFormat="1" ht="20.100000000000001" customHeight="1">
      <c r="E90" s="40"/>
      <c r="F90" s="40"/>
      <c r="G90" s="40"/>
      <c r="AA90" t="str">
        <f t="shared" si="12"/>
        <v/>
      </c>
    </row>
    <row r="91" spans="5:27" customFormat="1" ht="20.100000000000001" customHeight="1">
      <c r="E91" s="40"/>
      <c r="F91" s="40"/>
      <c r="G91" s="40"/>
      <c r="AA91" t="str">
        <f t="shared" si="12"/>
        <v/>
      </c>
    </row>
    <row r="92" spans="5:27" customFormat="1" ht="20.100000000000001" customHeight="1">
      <c r="E92" s="40"/>
      <c r="F92" s="40"/>
      <c r="G92" s="40"/>
      <c r="AA92" t="str">
        <f t="shared" si="12"/>
        <v/>
      </c>
    </row>
    <row r="93" spans="5:27" customFormat="1" ht="20.100000000000001" customHeight="1">
      <c r="E93" s="40"/>
      <c r="F93" s="40"/>
      <c r="G93" s="40"/>
      <c r="AA93" t="str">
        <f t="shared" si="12"/>
        <v/>
      </c>
    </row>
    <row r="94" spans="5:27" customFormat="1" ht="20.100000000000001" customHeight="1">
      <c r="E94" s="40"/>
      <c r="F94" s="40"/>
      <c r="G94" s="40"/>
      <c r="AA94" t="str">
        <f t="shared" si="12"/>
        <v/>
      </c>
    </row>
    <row r="95" spans="5:27" customFormat="1" ht="20.100000000000001" customHeight="1">
      <c r="E95" s="40"/>
      <c r="F95" s="40"/>
      <c r="G95" s="40"/>
      <c r="AA95" t="str">
        <f t="shared" si="12"/>
        <v/>
      </c>
    </row>
    <row r="96" spans="5:27" customFormat="1" ht="20.100000000000001" customHeight="1">
      <c r="E96" s="40"/>
      <c r="F96" s="40"/>
      <c r="G96" s="40"/>
      <c r="AA96" t="str">
        <f t="shared" si="12"/>
        <v/>
      </c>
    </row>
    <row r="97" spans="5:27" customFormat="1" ht="20.100000000000001" customHeight="1">
      <c r="E97" s="40"/>
      <c r="F97" s="40"/>
      <c r="G97" s="40"/>
      <c r="AA97" t="str">
        <f t="shared" si="12"/>
        <v/>
      </c>
    </row>
    <row r="98" spans="5:27" customFormat="1" ht="20.100000000000001" customHeight="1">
      <c r="E98" s="40"/>
      <c r="F98" s="40"/>
      <c r="G98" s="40"/>
      <c r="AA98" t="str">
        <f t="shared" si="12"/>
        <v/>
      </c>
    </row>
    <row r="99" spans="5:27" customFormat="1" ht="20.100000000000001" customHeight="1">
      <c r="E99" s="40"/>
      <c r="F99" s="40"/>
      <c r="G99" s="40"/>
      <c r="AA99" t="str">
        <f t="shared" si="12"/>
        <v/>
      </c>
    </row>
    <row r="100" spans="5:27" customFormat="1" ht="20.100000000000001" customHeight="1">
      <c r="E100" s="40"/>
      <c r="F100" s="40"/>
      <c r="G100" s="40"/>
      <c r="AA100" t="str">
        <f t="shared" si="12"/>
        <v/>
      </c>
    </row>
    <row r="101" spans="5:27" customFormat="1" ht="20.100000000000001" customHeight="1">
      <c r="E101" s="40"/>
      <c r="F101" s="40"/>
      <c r="G101" s="40"/>
      <c r="AA101" t="str">
        <f t="shared" si="12"/>
        <v/>
      </c>
    </row>
    <row r="102" spans="5:27" customFormat="1" ht="20.100000000000001" customHeight="1">
      <c r="E102" s="40"/>
      <c r="F102" s="40"/>
      <c r="G102" s="40"/>
      <c r="AA102" t="str">
        <f t="shared" si="12"/>
        <v/>
      </c>
    </row>
    <row r="103" spans="5:27" customFormat="1" ht="20.100000000000001" customHeight="1">
      <c r="E103" s="40"/>
      <c r="F103" s="40"/>
      <c r="G103" s="40"/>
      <c r="AA103" t="str">
        <f t="shared" si="12"/>
        <v/>
      </c>
    </row>
    <row r="104" spans="5:27" customFormat="1" ht="20.100000000000001" customHeight="1">
      <c r="E104" s="40"/>
      <c r="F104" s="40"/>
      <c r="G104" s="40"/>
      <c r="AA104" t="str">
        <f t="shared" si="12"/>
        <v/>
      </c>
    </row>
    <row r="105" spans="5:27" customFormat="1" ht="20.100000000000001" customHeight="1">
      <c r="E105" s="40"/>
      <c r="F105" s="40"/>
      <c r="G105" s="40"/>
      <c r="AA105" t="str">
        <f t="shared" si="12"/>
        <v/>
      </c>
    </row>
    <row r="106" spans="5:27" customFormat="1" ht="20.100000000000001" customHeight="1">
      <c r="E106" s="40"/>
      <c r="F106" s="40"/>
      <c r="G106" s="40"/>
      <c r="AA106" t="str">
        <f t="shared" si="12"/>
        <v/>
      </c>
    </row>
    <row r="107" spans="5:27" customFormat="1" ht="20.100000000000001" customHeight="1">
      <c r="E107" s="40"/>
      <c r="F107" s="40"/>
      <c r="G107" s="40"/>
      <c r="AA107" t="str">
        <f t="shared" ref="AA107:AA128" si="13">IF(AND(EvalPower(E107:G107)=EvalPower(H107:Q107), EvalPower(P107)=EvalPower(U107:W107)), "", IF(AND(EvalPower(E107:G107)&lt;&gt;EvalPower(H107:Q107), EvalPower(P107)&lt;&gt;EvalPower(U107:W107)), "NG Total and Power total both mistake", IF(EvalPower(E107:G107)&lt;&gt;EvalPower(H107:Q107), "TOTAL ERROR", "POWER CUT ERROR!")))</f>
        <v/>
      </c>
    </row>
    <row r="108" spans="5:27" customFormat="1" ht="20.100000000000001" customHeight="1">
      <c r="E108" s="40"/>
      <c r="F108" s="40"/>
      <c r="G108" s="40"/>
      <c r="AA108" t="str">
        <f t="shared" si="13"/>
        <v/>
      </c>
    </row>
    <row r="109" spans="5:27" customFormat="1" ht="20.100000000000001" customHeight="1">
      <c r="E109" s="40"/>
      <c r="F109" s="40"/>
      <c r="G109" s="40"/>
      <c r="AA109" t="str">
        <f t="shared" si="13"/>
        <v/>
      </c>
    </row>
    <row r="110" spans="5:27" customFormat="1" ht="20.100000000000001" customHeight="1">
      <c r="E110" s="40"/>
      <c r="F110" s="40"/>
      <c r="G110" s="40"/>
      <c r="AA110" t="str">
        <f t="shared" si="13"/>
        <v/>
      </c>
    </row>
    <row r="111" spans="5:27" customFormat="1" ht="20.100000000000001" customHeight="1">
      <c r="E111" s="40"/>
      <c r="F111" s="40"/>
      <c r="G111" s="40"/>
      <c r="AA111" t="str">
        <f t="shared" si="13"/>
        <v/>
      </c>
    </row>
    <row r="112" spans="5:27" customFormat="1" ht="20.100000000000001" customHeight="1">
      <c r="E112" s="40"/>
      <c r="F112" s="40"/>
      <c r="G112" s="40"/>
      <c r="AA112" t="str">
        <f t="shared" si="13"/>
        <v/>
      </c>
    </row>
    <row r="113" spans="5:27" customFormat="1" ht="20.100000000000001" customHeight="1">
      <c r="E113" s="40"/>
      <c r="F113" s="40"/>
      <c r="G113" s="40"/>
      <c r="AA113" t="str">
        <f t="shared" si="13"/>
        <v/>
      </c>
    </row>
    <row r="114" spans="5:27" customFormat="1" ht="20.100000000000001" customHeight="1">
      <c r="E114" s="40"/>
      <c r="F114" s="40"/>
      <c r="G114" s="40"/>
      <c r="AA114" t="str">
        <f t="shared" si="13"/>
        <v/>
      </c>
    </row>
    <row r="115" spans="5:27" customFormat="1" ht="20.100000000000001" customHeight="1">
      <c r="E115" s="40"/>
      <c r="F115" s="40"/>
      <c r="G115" s="40"/>
      <c r="AA115" t="str">
        <f t="shared" si="13"/>
        <v/>
      </c>
    </row>
    <row r="116" spans="5:27" customFormat="1" ht="20.100000000000001" customHeight="1">
      <c r="E116" s="40"/>
      <c r="F116" s="40"/>
      <c r="G116" s="40"/>
      <c r="AA116" t="str">
        <f t="shared" si="13"/>
        <v/>
      </c>
    </row>
    <row r="117" spans="5:27" customFormat="1" ht="20.100000000000001" customHeight="1">
      <c r="E117" s="40"/>
      <c r="F117" s="40"/>
      <c r="G117" s="40"/>
      <c r="AA117" t="str">
        <f t="shared" si="13"/>
        <v/>
      </c>
    </row>
    <row r="118" spans="5:27" customFormat="1" ht="20.100000000000001" customHeight="1">
      <c r="E118" s="40"/>
      <c r="F118" s="40"/>
      <c r="G118" s="40"/>
      <c r="AA118" t="str">
        <f t="shared" si="13"/>
        <v/>
      </c>
    </row>
    <row r="119" spans="5:27" customFormat="1" ht="20.100000000000001" customHeight="1">
      <c r="E119" s="40"/>
      <c r="F119" s="40"/>
      <c r="G119" s="40"/>
      <c r="AA119" t="str">
        <f t="shared" si="13"/>
        <v/>
      </c>
    </row>
    <row r="120" spans="5:27" customFormat="1" ht="20.100000000000001" customHeight="1">
      <c r="E120" s="40"/>
      <c r="F120" s="40"/>
      <c r="G120" s="40"/>
      <c r="AA120" t="str">
        <f t="shared" si="13"/>
        <v/>
      </c>
    </row>
    <row r="121" spans="5:27" customFormat="1" ht="20.100000000000001" customHeight="1">
      <c r="E121" s="40"/>
      <c r="F121" s="40"/>
      <c r="G121" s="40"/>
      <c r="AA121" t="str">
        <f t="shared" si="13"/>
        <v/>
      </c>
    </row>
    <row r="122" spans="5:27" customFormat="1" ht="20.100000000000001" customHeight="1">
      <c r="E122" s="40"/>
      <c r="F122" s="40"/>
      <c r="G122" s="40"/>
      <c r="AA122" t="str">
        <f t="shared" si="13"/>
        <v/>
      </c>
    </row>
    <row r="123" spans="5:27" customFormat="1" ht="20.100000000000001" customHeight="1">
      <c r="E123" s="40"/>
      <c r="F123" s="40"/>
      <c r="G123" s="40"/>
      <c r="AA123" t="str">
        <f t="shared" si="13"/>
        <v/>
      </c>
    </row>
    <row r="124" spans="5:27" customFormat="1" ht="20.100000000000001" customHeight="1">
      <c r="E124" s="40"/>
      <c r="F124" s="40"/>
      <c r="G124" s="40"/>
      <c r="AA124" t="str">
        <f t="shared" si="13"/>
        <v/>
      </c>
    </row>
    <row r="125" spans="5:27" customFormat="1" ht="20.100000000000001" customHeight="1">
      <c r="E125" s="40"/>
      <c r="F125" s="40"/>
      <c r="G125" s="40"/>
      <c r="AA125" t="str">
        <f t="shared" si="13"/>
        <v/>
      </c>
    </row>
    <row r="126" spans="5:27" customFormat="1" ht="20.100000000000001" customHeight="1">
      <c r="E126" s="40"/>
      <c r="F126" s="40"/>
      <c r="G126" s="40"/>
      <c r="AA126" t="str">
        <f t="shared" si="13"/>
        <v/>
      </c>
    </row>
    <row r="127" spans="5:27" customFormat="1" ht="20.100000000000001" customHeight="1">
      <c r="E127" s="40"/>
      <c r="F127" s="40"/>
      <c r="G127" s="40"/>
      <c r="AA127" t="str">
        <f t="shared" si="13"/>
        <v/>
      </c>
    </row>
    <row r="128" spans="5:27" customFormat="1" ht="20.100000000000001" customHeight="1">
      <c r="E128" s="40"/>
      <c r="F128" s="40"/>
      <c r="G128" s="40"/>
      <c r="AA128" t="str">
        <f t="shared" si="13"/>
        <v/>
      </c>
    </row>
    <row r="129" customFormat="1" ht="20.100000000000001" customHeight="1"/>
    <row r="130" customFormat="1" ht="20.100000000000001" customHeight="1"/>
    <row r="131" customFormat="1" ht="20.100000000000001" customHeight="1"/>
    <row r="132" customFormat="1" ht="20.100000000000001" customHeight="1"/>
    <row r="133" customFormat="1" ht="20.100000000000001" customHeight="1"/>
    <row r="134" customFormat="1" ht="20.100000000000001" customHeight="1"/>
    <row r="135" customFormat="1" ht="20.100000000000001" customHeight="1"/>
    <row r="136" customFormat="1" ht="20.100000000000001" customHeight="1"/>
    <row r="137" customFormat="1" ht="20.100000000000001" customHeight="1"/>
    <row r="138" customFormat="1" ht="32.25" customHeight="1"/>
    <row r="139" customFormat="1" ht="20.100000000000001" customHeight="1"/>
    <row r="140" customFormat="1" ht="20.100000000000001" customHeight="1"/>
    <row r="141" customFormat="1" ht="20.100000000000001" customHeight="1"/>
    <row r="142" customFormat="1" ht="20.100000000000001" customHeight="1"/>
    <row r="143" customFormat="1" ht="20.100000000000001" customHeight="1"/>
    <row r="144" customFormat="1" ht="20.100000000000001" customHeight="1"/>
    <row r="145" customFormat="1" ht="20.100000000000001" customHeight="1"/>
    <row r="146" customFormat="1" ht="20.100000000000001" customHeight="1"/>
    <row r="147" customFormat="1" ht="20.100000000000001" customHeight="1"/>
    <row r="148" customFormat="1" ht="20.100000000000001" customHeight="1"/>
    <row r="149" customFormat="1" ht="20.100000000000001" customHeight="1"/>
    <row r="150" customFormat="1" ht="20.100000000000001" customHeight="1"/>
    <row r="151" customFormat="1" ht="20.100000000000001" customHeight="1"/>
    <row r="152" customFormat="1" ht="20.100000000000001" customHeight="1"/>
    <row r="153" customFormat="1" ht="20.100000000000001" customHeight="1"/>
    <row r="154" customFormat="1" ht="20.100000000000001" customHeight="1"/>
    <row r="155" customFormat="1" ht="20.100000000000001" customHeight="1"/>
    <row r="156" customFormat="1" ht="20.100000000000001" customHeight="1"/>
    <row r="157" customFormat="1" ht="20.100000000000001" customHeight="1"/>
    <row r="158" customFormat="1" ht="20.100000000000001" customHeight="1"/>
    <row r="159" customFormat="1" ht="20.100000000000001" customHeight="1"/>
    <row r="160" customFormat="1" ht="20.100000000000001" customHeight="1"/>
    <row r="161" customFormat="1" ht="20.100000000000001" customHeight="1"/>
    <row r="162" customFormat="1" ht="20.100000000000001" customHeight="1"/>
    <row r="163" customFormat="1" ht="20.100000000000001" customHeight="1"/>
    <row r="164" customFormat="1" ht="20.100000000000001" customHeight="1"/>
    <row r="165" customFormat="1" ht="20.100000000000001" customHeight="1"/>
    <row r="166" customFormat="1" ht="20.100000000000001" customHeight="1"/>
    <row r="167" customFormat="1" ht="20.100000000000001" customHeight="1"/>
    <row r="168" customFormat="1" ht="20.100000000000001" customHeight="1"/>
    <row r="169" customFormat="1" ht="20.100000000000001" customHeight="1"/>
    <row r="170" customFormat="1" ht="20.100000000000001" customHeight="1"/>
    <row r="171" customFormat="1" ht="20.100000000000001" customHeight="1"/>
    <row r="172" customFormat="1" ht="20.100000000000001" customHeight="1"/>
    <row r="173" customFormat="1" ht="20.100000000000001" customHeight="1"/>
    <row r="174" customFormat="1" ht="20.100000000000001" customHeight="1"/>
    <row r="175" customFormat="1" ht="20.100000000000001" customHeight="1"/>
    <row r="176" customFormat="1" ht="20.100000000000001" customHeight="1"/>
    <row r="177" customFormat="1" ht="20.100000000000001" customHeight="1"/>
    <row r="178" customFormat="1" ht="20.100000000000001" customHeight="1"/>
    <row r="179" customFormat="1" ht="20.100000000000001" customHeight="1"/>
    <row r="180" customFormat="1" ht="20.100000000000001" customHeight="1"/>
    <row r="181" customFormat="1" ht="20.100000000000001" customHeight="1"/>
    <row r="182" customFormat="1" ht="20.100000000000001" customHeight="1"/>
    <row r="183" customFormat="1" ht="20.100000000000001" customHeight="1"/>
    <row r="184" customFormat="1" ht="39" customHeight="1"/>
    <row r="185" customFormat="1" ht="20.100000000000001" customHeight="1"/>
    <row r="186" customFormat="1" ht="20.100000000000001" customHeight="1"/>
    <row r="187" customFormat="1" ht="20.100000000000001" customHeight="1"/>
    <row r="188" customFormat="1" ht="20.100000000000001" customHeight="1"/>
    <row r="189" customFormat="1" ht="20.100000000000001" customHeight="1"/>
    <row r="190" customFormat="1" ht="20.100000000000001" customHeight="1"/>
    <row r="191" customFormat="1" ht="20.100000000000001" customHeight="1"/>
    <row r="192" customFormat="1" ht="20.100000000000001" customHeight="1"/>
    <row r="193" customFormat="1" ht="20.100000000000001" customHeight="1"/>
    <row r="194" customFormat="1" ht="20.100000000000001" customHeight="1"/>
    <row r="195" customFormat="1" ht="20.100000000000001" customHeight="1"/>
    <row r="196" customFormat="1" ht="20.100000000000001" customHeight="1"/>
    <row r="197" customFormat="1" ht="20.100000000000001" customHeight="1"/>
    <row r="198" customFormat="1" ht="20.100000000000001" customHeight="1"/>
    <row r="199" customFormat="1" ht="20.100000000000001" customHeight="1"/>
    <row r="200" customFormat="1" ht="20.100000000000001" customHeight="1"/>
    <row r="201" customFormat="1" ht="20.100000000000001" customHeight="1"/>
    <row r="202" customFormat="1" ht="20.100000000000001" customHeight="1"/>
    <row r="203" customFormat="1" ht="20.100000000000001" customHeight="1"/>
    <row r="204" customFormat="1" ht="20.100000000000001" customHeight="1"/>
    <row r="205" customFormat="1" ht="20.100000000000001" customHeight="1"/>
    <row r="206" customFormat="1" ht="20.100000000000001" customHeight="1"/>
    <row r="207" customFormat="1" ht="20.100000000000001" customHeight="1"/>
    <row r="208" customFormat="1" ht="20.100000000000001" customHeight="1"/>
    <row r="209" customFormat="1" ht="20.100000000000001" customHeight="1"/>
    <row r="210" customFormat="1" ht="20.100000000000001" customHeight="1"/>
    <row r="211" customFormat="1" ht="20.100000000000001" customHeight="1"/>
    <row r="212" customFormat="1" ht="20.100000000000001" customHeight="1"/>
    <row r="213" customFormat="1" ht="20.100000000000001" customHeight="1"/>
    <row r="214" customFormat="1" ht="20.100000000000001" customHeight="1"/>
    <row r="215" customFormat="1" ht="20.100000000000001" customHeight="1"/>
    <row r="216" customFormat="1" ht="20.100000000000001" customHeight="1"/>
    <row r="217" customFormat="1" ht="20.100000000000001" customHeight="1"/>
    <row r="218" customFormat="1" ht="20.100000000000001" customHeight="1"/>
    <row r="219" customFormat="1" ht="20.100000000000001" customHeight="1"/>
    <row r="220" customFormat="1" ht="20.100000000000001" customHeight="1"/>
    <row r="221" customFormat="1" ht="20.100000000000001" customHeight="1"/>
    <row r="222" customFormat="1" ht="20.100000000000001" customHeight="1"/>
    <row r="223" customFormat="1" ht="20.100000000000001" customHeight="1"/>
    <row r="224" customFormat="1" ht="20.100000000000001" customHeight="1"/>
    <row r="225" customFormat="1" ht="20.100000000000001" customHeight="1"/>
    <row r="226" customFormat="1" ht="20.100000000000001" customHeight="1"/>
    <row r="227" customFormat="1" ht="20.100000000000001" customHeight="1"/>
    <row r="228" customFormat="1" ht="20.100000000000001" customHeight="1"/>
    <row r="229" customFormat="1" ht="20.100000000000001" customHeight="1"/>
    <row r="230" customFormat="1" ht="20.100000000000001" customHeight="1"/>
    <row r="231" customFormat="1" ht="20.100000000000001" customHeight="1"/>
    <row r="232" customFormat="1" ht="20.100000000000001" customHeight="1"/>
    <row r="233" customFormat="1" ht="20.100000000000001" customHeight="1"/>
    <row r="234" customFormat="1" ht="20.100000000000001" customHeight="1"/>
    <row r="235" customFormat="1" ht="20.100000000000001" customHeight="1"/>
    <row r="236" customFormat="1" ht="20.100000000000001" customHeight="1"/>
    <row r="237" customFormat="1" ht="20.100000000000001" customHeight="1"/>
    <row r="238" customFormat="1" ht="20.100000000000001" customHeight="1"/>
    <row r="239" customFormat="1" ht="20.100000000000001" customHeight="1"/>
    <row r="240" customFormat="1" ht="20.100000000000001" customHeight="1"/>
    <row r="241" customFormat="1" ht="20.100000000000001" customHeight="1"/>
    <row r="242" customFormat="1" ht="20.100000000000001" customHeight="1"/>
    <row r="243" customFormat="1" ht="20.100000000000001" customHeight="1"/>
    <row r="244" customFormat="1" ht="20.100000000000001" customHeight="1"/>
    <row r="245" customFormat="1" ht="20.100000000000001" customHeight="1"/>
    <row r="246" customFormat="1" ht="20.100000000000001" customHeight="1"/>
    <row r="247" customFormat="1" ht="20.100000000000001" customHeight="1"/>
  </sheetData>
  <mergeCells count="68">
    <mergeCell ref="K9:K10"/>
    <mergeCell ref="L9:L10"/>
    <mergeCell ref="N9:N10"/>
    <mergeCell ref="O9:O10"/>
    <mergeCell ref="P9:P10"/>
    <mergeCell ref="A9:D10"/>
    <mergeCell ref="E9:G9"/>
    <mergeCell ref="H7:H8"/>
    <mergeCell ref="I7:I8"/>
    <mergeCell ref="J7:J8"/>
    <mergeCell ref="H9:H10"/>
    <mergeCell ref="I9:I10"/>
    <mergeCell ref="J9:J10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T5:T6"/>
    <mergeCell ref="T7:T8"/>
    <mergeCell ref="T9:T10"/>
    <mergeCell ref="S7:S8"/>
    <mergeCell ref="S5:S6"/>
    <mergeCell ref="S9:S10"/>
    <mergeCell ref="W9:W10"/>
    <mergeCell ref="U9:U10"/>
    <mergeCell ref="V9:V10"/>
    <mergeCell ref="U4:W4"/>
    <mergeCell ref="U5:U6"/>
    <mergeCell ref="V5:V6"/>
    <mergeCell ref="U7:U8"/>
    <mergeCell ref="V7:V8"/>
    <mergeCell ref="W5:W6"/>
    <mergeCell ref="W7:W8"/>
    <mergeCell ref="X9:X10"/>
    <mergeCell ref="Y9:Y10"/>
    <mergeCell ref="Z9:Z10"/>
    <mergeCell ref="X4:Z4"/>
    <mergeCell ref="X5:X6"/>
    <mergeCell ref="Y5:Y6"/>
    <mergeCell ref="Z5:Z6"/>
    <mergeCell ref="X7:X8"/>
    <mergeCell ref="Y7:Y8"/>
    <mergeCell ref="Z7:Z8"/>
  </mergeCells>
  <phoneticPr fontId="12" type="noConversion"/>
  <pageMargins left="0.7" right="0.7" top="0.75" bottom="0.75" header="0.3" footer="0.3"/>
  <pageSetup scale="34" orientation="portrait" r:id="rId1"/>
  <ignoredErrors>
    <ignoredError sqref="E8" formula="1"/>
    <ignoredError sqref="E11 P11 U11 F12 U13 F14 E18 J15 H18 P16 U16 H16 E15:E1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161925</xdr:colOff>
                    <xdr:row>1</xdr:row>
                    <xdr:rowOff>0</xdr:rowOff>
                  </from>
                  <to>
                    <xdr:col>28</xdr:col>
                    <xdr:colOff>47625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180975</xdr:colOff>
                    <xdr:row>3</xdr:row>
                    <xdr:rowOff>38100</xdr:rowOff>
                  </from>
                  <to>
                    <xdr:col>28</xdr:col>
                    <xdr:colOff>47625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83"/>
  <sheetViews>
    <sheetView zoomScale="85" zoomScaleNormal="85" workbookViewId="0">
      <selection activeCell="S11" sqref="S11"/>
    </sheetView>
  </sheetViews>
  <sheetFormatPr defaultColWidth="12.125" defaultRowHeight="16.5"/>
  <cols>
    <col min="1" max="1" width="5.125" style="44" bestFit="1" customWidth="1"/>
    <col min="2" max="2" width="6" style="44" bestFit="1" customWidth="1"/>
    <col min="3" max="3" width="7.75" style="44" bestFit="1" customWidth="1"/>
    <col min="4" max="4" width="29.5" style="44" customWidth="1"/>
    <col min="5" max="7" width="5.625" style="48" customWidth="1"/>
    <col min="8" max="17" width="5.625" style="45" customWidth="1"/>
    <col min="18" max="18" width="5.625" style="76" customWidth="1"/>
    <col min="19" max="19" width="23.125" style="44" customWidth="1"/>
    <col min="20" max="20" width="4.625" style="67" customWidth="1"/>
    <col min="21" max="21" width="11.5" style="76" customWidth="1"/>
    <col min="22" max="23" width="12.125" style="65"/>
    <col min="24" max="16384" width="12.125" style="44"/>
  </cols>
  <sheetData>
    <row r="1" spans="1:23" s="15" customFormat="1" ht="16.5" customHeight="1">
      <c r="E1" s="35"/>
      <c r="F1" s="35"/>
      <c r="G1" s="35"/>
      <c r="R1" s="35"/>
      <c r="T1" s="59"/>
      <c r="U1" s="35"/>
    </row>
    <row r="2" spans="1:23" s="15" customFormat="1" ht="16.5" customHeight="1">
      <c r="E2" s="35"/>
      <c r="F2" s="35"/>
      <c r="G2" s="35"/>
      <c r="R2" s="35"/>
      <c r="T2" s="59"/>
      <c r="U2" s="35"/>
    </row>
    <row r="3" spans="1:23" s="15" customFormat="1" ht="16.5" customHeight="1">
      <c r="E3" s="35"/>
      <c r="F3" s="35"/>
      <c r="G3" s="35"/>
      <c r="R3" s="35"/>
      <c r="T3" s="59"/>
      <c r="U3" s="35"/>
    </row>
    <row r="4" spans="1:23" s="15" customFormat="1" ht="16.5" customHeight="1">
      <c r="E4" s="35"/>
      <c r="F4" s="35"/>
      <c r="G4" s="35"/>
      <c r="R4" s="35"/>
      <c r="T4" s="59"/>
      <c r="U4" s="35"/>
    </row>
    <row r="5" spans="1:23" s="15" customFormat="1" ht="13.5" customHeight="1">
      <c r="A5" s="130" t="s">
        <v>0</v>
      </c>
      <c r="B5" s="130" t="s">
        <v>1</v>
      </c>
      <c r="C5" s="130" t="s">
        <v>2</v>
      </c>
      <c r="D5" s="130" t="s">
        <v>22</v>
      </c>
      <c r="E5" s="148" t="s">
        <v>4</v>
      </c>
      <c r="F5" s="149"/>
      <c r="G5" s="150"/>
      <c r="H5" s="137" t="s">
        <v>5</v>
      </c>
      <c r="I5" s="137" t="s">
        <v>6</v>
      </c>
      <c r="J5" s="137" t="s">
        <v>7</v>
      </c>
      <c r="K5" s="137" t="s">
        <v>8</v>
      </c>
      <c r="L5" s="137" t="s">
        <v>9</v>
      </c>
      <c r="M5" s="137" t="s">
        <v>10</v>
      </c>
      <c r="N5" s="137" t="s">
        <v>11</v>
      </c>
      <c r="O5" s="137" t="s">
        <v>12</v>
      </c>
      <c r="P5" s="137" t="s">
        <v>13</v>
      </c>
      <c r="Q5" s="137" t="s">
        <v>14</v>
      </c>
      <c r="R5" s="157" t="s">
        <v>15</v>
      </c>
      <c r="S5" s="137" t="s">
        <v>16</v>
      </c>
      <c r="T5" s="59"/>
      <c r="U5" s="157" t="s">
        <v>23</v>
      </c>
      <c r="V5" s="152" t="s">
        <v>44</v>
      </c>
    </row>
    <row r="6" spans="1:23" s="15" customFormat="1" ht="13.5" customHeight="1">
      <c r="A6" s="131"/>
      <c r="B6" s="131"/>
      <c r="C6" s="131"/>
      <c r="D6" s="131"/>
      <c r="E6" s="38"/>
      <c r="F6" s="39"/>
      <c r="G6" s="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58"/>
      <c r="S6" s="138"/>
      <c r="T6" s="59"/>
      <c r="U6" s="158"/>
      <c r="V6" s="153"/>
    </row>
    <row r="7" spans="1:23" s="15" customFormat="1" ht="13.5" customHeight="1">
      <c r="A7" s="139" t="s">
        <v>15</v>
      </c>
      <c r="B7" s="140"/>
      <c r="C7" s="140"/>
      <c r="D7" s="141"/>
      <c r="E7" s="142">
        <f>EvalPower(E9:G9)</f>
        <v>2</v>
      </c>
      <c r="F7" s="143"/>
      <c r="G7" s="144"/>
      <c r="H7" s="145" t="str">
        <f t="shared" ref="H7:Q7" si="0">EvalMath(H10:H61)</f>
        <v>-</v>
      </c>
      <c r="I7" s="145" t="str">
        <f t="shared" si="0"/>
        <v>-</v>
      </c>
      <c r="J7" s="145" t="str">
        <f t="shared" si="0"/>
        <v>-</v>
      </c>
      <c r="K7" s="145">
        <f t="shared" si="0"/>
        <v>2</v>
      </c>
      <c r="L7" s="145" t="str">
        <f t="shared" si="0"/>
        <v>-</v>
      </c>
      <c r="M7" s="145" t="str">
        <f t="shared" si="0"/>
        <v>-</v>
      </c>
      <c r="N7" s="145" t="str">
        <f t="shared" si="0"/>
        <v>-</v>
      </c>
      <c r="O7" s="145" t="str">
        <f t="shared" si="0"/>
        <v>-</v>
      </c>
      <c r="P7" s="145" t="str">
        <f t="shared" si="0"/>
        <v>-</v>
      </c>
      <c r="Q7" s="154" t="str">
        <f t="shared" si="0"/>
        <v>-</v>
      </c>
      <c r="R7" s="151" t="str">
        <f>EvalPower(R10:R61)</f>
        <v>0</v>
      </c>
      <c r="S7" s="159"/>
      <c r="T7" s="67"/>
      <c r="U7" s="151"/>
      <c r="V7" s="151"/>
      <c r="W7" s="82"/>
    </row>
    <row r="8" spans="1:23" s="15" customFormat="1" ht="13.5" customHeight="1">
      <c r="A8" s="132" t="s">
        <v>28</v>
      </c>
      <c r="B8" s="133"/>
      <c r="C8" s="133"/>
      <c r="D8" s="134"/>
      <c r="E8" s="118">
        <f>EvalPower(E9:G9)</f>
        <v>2</v>
      </c>
      <c r="F8" s="119"/>
      <c r="G8" s="120"/>
      <c r="H8" s="146"/>
      <c r="I8" s="146"/>
      <c r="J8" s="146"/>
      <c r="K8" s="146"/>
      <c r="L8" s="146"/>
      <c r="M8" s="146"/>
      <c r="N8" s="146"/>
      <c r="O8" s="146"/>
      <c r="P8" s="146"/>
      <c r="Q8" s="155"/>
      <c r="R8" s="151"/>
      <c r="S8" s="160"/>
      <c r="T8" s="67"/>
      <c r="U8" s="151"/>
      <c r="V8" s="151"/>
      <c r="W8" s="82"/>
    </row>
    <row r="9" spans="1:23" s="15" customFormat="1" ht="13.5" customHeight="1">
      <c r="A9" s="135"/>
      <c r="B9" s="125"/>
      <c r="C9" s="125"/>
      <c r="D9" s="136"/>
      <c r="E9" s="24">
        <f>EvalPower(E10:E61)</f>
        <v>2</v>
      </c>
      <c r="F9" s="24" t="str">
        <f>EvalPower(F10:F61)</f>
        <v>0</v>
      </c>
      <c r="G9" s="24" t="str">
        <f>EvalPower(G10:G61)</f>
        <v>0</v>
      </c>
      <c r="H9" s="147"/>
      <c r="I9" s="147"/>
      <c r="J9" s="147"/>
      <c r="K9" s="147"/>
      <c r="L9" s="147"/>
      <c r="M9" s="147"/>
      <c r="N9" s="147"/>
      <c r="O9" s="147"/>
      <c r="P9" s="147"/>
      <c r="Q9" s="156"/>
      <c r="R9" s="151"/>
      <c r="S9" s="161"/>
      <c r="T9" s="67"/>
      <c r="U9" s="151"/>
      <c r="V9" s="151"/>
      <c r="W9" s="82"/>
    </row>
    <row r="10" spans="1:23" ht="24" customHeight="1">
      <c r="A10" s="55">
        <v>1</v>
      </c>
      <c r="B10" s="83" t="s">
        <v>51</v>
      </c>
      <c r="C10" s="55" t="s">
        <v>69</v>
      </c>
      <c r="D10" s="55" t="s">
        <v>68</v>
      </c>
      <c r="E10" s="36" t="s">
        <v>46</v>
      </c>
      <c r="F10" s="37"/>
      <c r="G10" s="37"/>
      <c r="K10" s="45" t="s">
        <v>46</v>
      </c>
      <c r="R10" s="66">
        <f>(EvalPower(E10:G10)*U10)</f>
        <v>0</v>
      </c>
      <c r="S10" s="58" t="s">
        <v>70</v>
      </c>
      <c r="U10" s="68"/>
      <c r="V10" s="68" t="s">
        <v>48</v>
      </c>
    </row>
    <row r="11" spans="1:23" ht="24" customHeight="1">
      <c r="A11" s="55"/>
      <c r="B11" s="83"/>
      <c r="C11" s="55"/>
      <c r="D11" s="55"/>
      <c r="E11" s="36"/>
      <c r="F11" s="37"/>
      <c r="G11" s="37"/>
      <c r="R11" s="66"/>
      <c r="S11" s="58"/>
      <c r="U11" s="68"/>
      <c r="V11" s="68"/>
    </row>
    <row r="12" spans="1:23" ht="24" customHeight="1">
      <c r="A12" s="55"/>
      <c r="B12" s="83"/>
      <c r="C12" s="55"/>
      <c r="D12" s="55"/>
      <c r="E12" s="36"/>
      <c r="F12" s="37"/>
      <c r="G12" s="37"/>
      <c r="R12" s="66"/>
      <c r="S12" s="58"/>
      <c r="U12" s="68"/>
      <c r="V12" s="68"/>
    </row>
    <row r="13" spans="1:23" ht="29.25" customHeight="1">
      <c r="A13" s="55"/>
      <c r="B13" s="83"/>
      <c r="C13" s="55"/>
      <c r="D13" s="55"/>
      <c r="E13" s="36"/>
      <c r="F13" s="37"/>
      <c r="G13" s="37"/>
      <c r="R13" s="66"/>
      <c r="S13" s="58"/>
      <c r="U13" s="68"/>
      <c r="V13" s="68"/>
    </row>
    <row r="14" spans="1:23" ht="27" customHeight="1">
      <c r="A14" s="55"/>
      <c r="B14" s="83"/>
      <c r="C14" s="55"/>
      <c r="D14" s="57"/>
      <c r="E14" s="36"/>
      <c r="F14" s="37"/>
      <c r="G14" s="37"/>
      <c r="R14" s="66"/>
      <c r="S14" s="58"/>
      <c r="U14" s="68"/>
      <c r="V14" s="68"/>
    </row>
    <row r="15" spans="1:23">
      <c r="A15" s="55"/>
      <c r="B15" s="83"/>
      <c r="C15" s="55"/>
      <c r="D15" s="18"/>
      <c r="E15" s="36"/>
      <c r="F15" s="37"/>
      <c r="G15" s="37"/>
      <c r="R15" s="66"/>
      <c r="S15" s="58"/>
      <c r="U15" s="68"/>
      <c r="V15" s="68"/>
    </row>
    <row r="16" spans="1:23">
      <c r="A16" s="55"/>
      <c r="B16" s="83"/>
      <c r="C16" s="55"/>
      <c r="D16" s="55"/>
      <c r="E16" s="36"/>
      <c r="F16" s="37"/>
      <c r="G16" s="37"/>
      <c r="R16" s="66"/>
      <c r="S16" s="58"/>
      <c r="U16" s="68"/>
      <c r="V16" s="68"/>
    </row>
    <row r="17" spans="1:22">
      <c r="A17" s="55"/>
      <c r="B17" s="83"/>
      <c r="C17" s="55"/>
      <c r="D17" s="55"/>
      <c r="E17" s="36"/>
      <c r="F17" s="37"/>
      <c r="G17" s="37"/>
      <c r="R17" s="66"/>
      <c r="S17" s="58"/>
      <c r="U17" s="68"/>
      <c r="V17" s="68"/>
    </row>
    <row r="18" spans="1:22">
      <c r="A18" s="55"/>
      <c r="B18" s="83"/>
      <c r="C18" s="55"/>
      <c r="D18" s="57"/>
      <c r="E18" s="36"/>
      <c r="F18" s="37"/>
      <c r="G18" s="37"/>
      <c r="R18" s="66"/>
      <c r="S18" s="58"/>
      <c r="U18" s="68"/>
      <c r="V18" s="68"/>
    </row>
    <row r="19" spans="1:22">
      <c r="A19" s="55"/>
      <c r="B19" s="83"/>
      <c r="C19" s="55"/>
      <c r="D19" s="18"/>
      <c r="E19" s="36"/>
      <c r="F19" s="37"/>
      <c r="G19" s="37"/>
      <c r="R19" s="66"/>
      <c r="S19" s="58"/>
      <c r="U19" s="68"/>
      <c r="V19" s="68"/>
    </row>
    <row r="20" spans="1:22">
      <c r="A20" s="55"/>
      <c r="B20" s="83"/>
      <c r="C20" s="55"/>
      <c r="D20" s="57"/>
      <c r="E20" s="36"/>
      <c r="F20" s="37"/>
      <c r="G20" s="37"/>
      <c r="R20" s="66"/>
      <c r="S20" s="58"/>
      <c r="U20" s="21"/>
      <c r="V20" s="68"/>
    </row>
    <row r="21" spans="1:22">
      <c r="A21" s="55"/>
      <c r="B21" s="83"/>
      <c r="C21" s="55"/>
      <c r="D21" s="57"/>
      <c r="E21" s="36"/>
      <c r="F21" s="37"/>
      <c r="G21" s="37"/>
      <c r="R21" s="66"/>
      <c r="S21" s="58"/>
      <c r="U21" s="21"/>
      <c r="V21" s="68"/>
    </row>
    <row r="22" spans="1:22">
      <c r="A22" s="55"/>
      <c r="B22" s="83"/>
      <c r="C22" s="55"/>
      <c r="D22" s="18"/>
      <c r="E22" s="36"/>
      <c r="F22" s="37"/>
      <c r="G22" s="37"/>
      <c r="R22" s="66"/>
      <c r="S22" s="58"/>
      <c r="U22" s="21"/>
      <c r="V22" s="68"/>
    </row>
    <row r="23" spans="1:22">
      <c r="A23" s="55"/>
      <c r="B23" s="83"/>
      <c r="C23" s="55"/>
      <c r="D23" s="55"/>
      <c r="E23" s="36"/>
      <c r="F23" s="37"/>
      <c r="G23" s="37"/>
      <c r="R23" s="66"/>
      <c r="S23" s="58"/>
      <c r="U23" s="68"/>
      <c r="V23" s="68"/>
    </row>
    <row r="24" spans="1:22">
      <c r="A24" s="55"/>
      <c r="B24" s="20"/>
      <c r="C24" s="18"/>
      <c r="D24" s="57"/>
      <c r="E24" s="36"/>
      <c r="F24" s="37"/>
      <c r="G24" s="37"/>
      <c r="H24" s="23"/>
      <c r="I24" s="23"/>
      <c r="J24" s="23"/>
      <c r="K24" s="62"/>
      <c r="L24" s="23"/>
      <c r="M24" s="23"/>
      <c r="N24" s="23"/>
      <c r="O24" s="23"/>
      <c r="P24" s="22"/>
      <c r="Q24" s="60"/>
      <c r="R24" s="66"/>
      <c r="S24" s="58"/>
      <c r="U24" s="68"/>
      <c r="V24" s="68"/>
    </row>
    <row r="25" spans="1:22">
      <c r="A25" s="55"/>
      <c r="B25" s="20"/>
      <c r="C25" s="18"/>
      <c r="D25" s="18"/>
      <c r="E25" s="36"/>
      <c r="F25" s="37"/>
      <c r="G25" s="37"/>
      <c r="H25" s="23"/>
      <c r="I25" s="23"/>
      <c r="J25" s="60"/>
      <c r="K25" s="64"/>
      <c r="L25" s="61"/>
      <c r="M25" s="23"/>
      <c r="N25" s="23"/>
      <c r="O25" s="23"/>
      <c r="P25" s="22"/>
      <c r="Q25" s="60"/>
      <c r="R25" s="66"/>
      <c r="S25" s="77"/>
      <c r="U25" s="68"/>
      <c r="V25" s="68"/>
    </row>
    <row r="26" spans="1:22">
      <c r="A26" s="55"/>
      <c r="B26" s="20"/>
      <c r="C26" s="18"/>
      <c r="D26" s="18"/>
      <c r="E26" s="36"/>
      <c r="F26" s="37"/>
      <c r="G26" s="37"/>
      <c r="H26" s="23"/>
      <c r="I26" s="23"/>
      <c r="J26" s="23"/>
      <c r="K26" s="63"/>
      <c r="L26" s="23"/>
      <c r="M26" s="23"/>
      <c r="N26" s="23"/>
      <c r="O26" s="23"/>
      <c r="P26" s="22"/>
      <c r="Q26" s="60"/>
      <c r="R26" s="66"/>
      <c r="S26" s="77"/>
      <c r="U26" s="68"/>
      <c r="V26" s="68"/>
    </row>
    <row r="27" spans="1:22" ht="23.25" customHeight="1">
      <c r="A27" s="55"/>
      <c r="B27" s="20"/>
      <c r="C27" s="18"/>
      <c r="D27" s="18"/>
      <c r="E27" s="36"/>
      <c r="F27" s="37"/>
      <c r="G27" s="37"/>
      <c r="H27" s="23"/>
      <c r="I27" s="23"/>
      <c r="J27" s="23"/>
      <c r="K27" s="23"/>
      <c r="L27" s="23"/>
      <c r="M27" s="23"/>
      <c r="N27" s="23"/>
      <c r="O27" s="23"/>
      <c r="P27" s="22"/>
      <c r="Q27" s="60"/>
      <c r="R27" s="66"/>
      <c r="S27" s="77"/>
      <c r="U27" s="68"/>
      <c r="V27" s="68"/>
    </row>
    <row r="28" spans="1:22" ht="16.5" customHeight="1">
      <c r="A28" s="55"/>
      <c r="B28" s="20"/>
      <c r="C28" s="18"/>
      <c r="D28" s="18"/>
      <c r="E28" s="36"/>
      <c r="F28" s="37"/>
      <c r="G28" s="37"/>
      <c r="H28" s="23"/>
      <c r="I28" s="23"/>
      <c r="J28" s="23"/>
      <c r="K28" s="23"/>
      <c r="L28" s="23"/>
      <c r="M28" s="23"/>
      <c r="N28" s="23"/>
      <c r="O28" s="23"/>
      <c r="P28" s="22"/>
      <c r="Q28" s="60"/>
      <c r="R28" s="66"/>
      <c r="S28" s="77"/>
      <c r="U28" s="68"/>
      <c r="V28" s="68"/>
    </row>
    <row r="29" spans="1:22" ht="16.5" customHeight="1">
      <c r="A29" s="22"/>
      <c r="B29" s="20"/>
      <c r="C29" s="18"/>
      <c r="D29" s="18"/>
      <c r="E29" s="36"/>
      <c r="F29" s="37"/>
      <c r="G29" s="37"/>
      <c r="H29" s="23"/>
      <c r="I29" s="23"/>
      <c r="J29" s="23"/>
      <c r="K29" s="23"/>
      <c r="L29" s="23"/>
      <c r="M29" s="23"/>
      <c r="N29" s="23"/>
      <c r="O29" s="23"/>
      <c r="P29" s="22"/>
      <c r="Q29" s="60"/>
      <c r="R29" s="66"/>
      <c r="S29" s="77"/>
      <c r="U29" s="68"/>
      <c r="V29" s="68"/>
    </row>
    <row r="30" spans="1:22" ht="16.5" customHeight="1">
      <c r="A30" s="22"/>
      <c r="B30" s="20"/>
      <c r="C30" s="18"/>
      <c r="D30" s="18"/>
      <c r="E30" s="36"/>
      <c r="F30" s="37"/>
      <c r="G30" s="37"/>
      <c r="H30" s="23"/>
      <c r="I30" s="23"/>
      <c r="J30" s="23"/>
      <c r="K30" s="23"/>
      <c r="L30" s="23"/>
      <c r="M30" s="23"/>
      <c r="N30" s="23"/>
      <c r="O30" s="23"/>
      <c r="P30" s="22"/>
      <c r="Q30" s="60"/>
      <c r="R30" s="66"/>
      <c r="S30" s="77"/>
      <c r="U30" s="68"/>
      <c r="V30" s="68"/>
    </row>
    <row r="31" spans="1:22" ht="16.5" customHeight="1">
      <c r="A31" s="22"/>
      <c r="B31" s="20"/>
      <c r="C31" s="18"/>
      <c r="D31" s="18"/>
      <c r="E31" s="36"/>
      <c r="F31" s="37"/>
      <c r="G31" s="37"/>
      <c r="H31" s="23"/>
      <c r="I31" s="23"/>
      <c r="J31" s="23"/>
      <c r="K31" s="23"/>
      <c r="L31" s="23"/>
      <c r="M31" s="23"/>
      <c r="N31" s="23"/>
      <c r="O31" s="23"/>
      <c r="P31" s="22"/>
      <c r="Q31" s="60"/>
      <c r="R31" s="69"/>
      <c r="S31" s="77"/>
      <c r="U31" s="68"/>
      <c r="V31" s="68"/>
    </row>
    <row r="32" spans="1:22" ht="16.5" customHeight="1">
      <c r="A32" s="22"/>
      <c r="B32" s="20"/>
      <c r="C32" s="18"/>
      <c r="D32" s="18"/>
      <c r="E32" s="36"/>
      <c r="F32" s="37"/>
      <c r="G32" s="37"/>
      <c r="H32" s="23"/>
      <c r="I32" s="23"/>
      <c r="J32" s="23"/>
      <c r="K32" s="23"/>
      <c r="L32" s="23"/>
      <c r="M32" s="23"/>
      <c r="N32" s="23"/>
      <c r="O32" s="23"/>
      <c r="P32" s="22"/>
      <c r="Q32" s="60"/>
      <c r="R32" s="69"/>
      <c r="S32" s="78"/>
      <c r="U32" s="68"/>
      <c r="V32" s="68"/>
    </row>
    <row r="33" spans="1:22" ht="16.5" customHeight="1">
      <c r="A33" s="22"/>
      <c r="B33" s="20"/>
      <c r="C33" s="18"/>
      <c r="D33" s="18"/>
      <c r="E33" s="36"/>
      <c r="F33" s="37"/>
      <c r="G33" s="37"/>
      <c r="H33" s="23"/>
      <c r="I33" s="23"/>
      <c r="J33" s="23"/>
      <c r="K33" s="23"/>
      <c r="L33" s="23"/>
      <c r="M33" s="23"/>
      <c r="N33" s="23"/>
      <c r="O33" s="23"/>
      <c r="P33" s="22"/>
      <c r="Q33" s="60"/>
      <c r="R33" s="69"/>
      <c r="S33" s="78"/>
      <c r="U33" s="68"/>
      <c r="V33" s="68"/>
    </row>
    <row r="34" spans="1:22" ht="16.5" customHeight="1">
      <c r="A34" s="22"/>
      <c r="B34" s="20"/>
      <c r="C34" s="18"/>
      <c r="D34" s="18"/>
      <c r="E34" s="36"/>
      <c r="F34" s="37"/>
      <c r="G34" s="37"/>
      <c r="H34" s="23"/>
      <c r="I34" s="23"/>
      <c r="J34" s="23"/>
      <c r="K34" s="23"/>
      <c r="L34" s="23"/>
      <c r="M34" s="23"/>
      <c r="N34" s="23"/>
      <c r="O34" s="23"/>
      <c r="P34" s="22"/>
      <c r="Q34" s="60"/>
      <c r="R34" s="69"/>
      <c r="S34" s="78"/>
      <c r="U34" s="68"/>
      <c r="V34" s="68"/>
    </row>
    <row r="35" spans="1:22" ht="16.5" customHeight="1">
      <c r="A35" s="22"/>
      <c r="B35" s="20"/>
      <c r="C35" s="18"/>
      <c r="D35" s="18"/>
      <c r="E35" s="36"/>
      <c r="F35" s="37"/>
      <c r="G35" s="37"/>
      <c r="H35" s="23"/>
      <c r="I35" s="23"/>
      <c r="J35" s="23"/>
      <c r="K35" s="23"/>
      <c r="L35" s="23"/>
      <c r="M35" s="23"/>
      <c r="N35" s="23"/>
      <c r="O35" s="23"/>
      <c r="P35" s="23"/>
      <c r="Q35" s="60"/>
      <c r="R35" s="69"/>
      <c r="S35" s="78"/>
      <c r="U35" s="68"/>
      <c r="V35" s="68"/>
    </row>
    <row r="36" spans="1:22" ht="16.5" customHeight="1">
      <c r="A36" s="22"/>
      <c r="B36" s="20"/>
      <c r="C36" s="18"/>
      <c r="D36" s="18"/>
      <c r="E36" s="36"/>
      <c r="F36" s="37"/>
      <c r="G36" s="37"/>
      <c r="H36" s="23"/>
      <c r="I36" s="23"/>
      <c r="J36" s="23"/>
      <c r="K36" s="23"/>
      <c r="L36" s="23"/>
      <c r="M36" s="23"/>
      <c r="N36" s="23"/>
      <c r="O36" s="23"/>
      <c r="P36" s="23"/>
      <c r="Q36" s="60"/>
      <c r="R36" s="69"/>
      <c r="S36" s="77"/>
      <c r="U36" s="68"/>
      <c r="V36" s="68"/>
    </row>
    <row r="37" spans="1:22" ht="16.5" customHeight="1">
      <c r="A37" s="22"/>
      <c r="B37" s="20"/>
      <c r="C37" s="18"/>
      <c r="D37" s="18"/>
      <c r="E37" s="36"/>
      <c r="F37" s="37"/>
      <c r="G37" s="37"/>
      <c r="H37" s="23"/>
      <c r="I37" s="23"/>
      <c r="J37" s="23"/>
      <c r="K37" s="23"/>
      <c r="L37" s="23"/>
      <c r="M37" s="23"/>
      <c r="N37" s="23"/>
      <c r="O37" s="23"/>
      <c r="P37" s="23"/>
      <c r="Q37" s="60"/>
      <c r="R37" s="69"/>
      <c r="S37" s="77"/>
      <c r="U37" s="68"/>
      <c r="V37" s="68"/>
    </row>
    <row r="38" spans="1:22" ht="16.5" customHeight="1">
      <c r="A38" s="22"/>
      <c r="B38" s="20"/>
      <c r="C38" s="18"/>
      <c r="D38" s="18"/>
      <c r="E38" s="41"/>
      <c r="F38" s="42"/>
      <c r="G38" s="42"/>
      <c r="H38" s="23"/>
      <c r="I38" s="23"/>
      <c r="J38" s="23"/>
      <c r="K38" s="23"/>
      <c r="L38" s="23"/>
      <c r="M38" s="23"/>
      <c r="N38" s="23"/>
      <c r="O38" s="23"/>
      <c r="P38" s="22"/>
      <c r="Q38" s="60"/>
      <c r="R38" s="69"/>
      <c r="S38" s="77"/>
      <c r="U38" s="68"/>
      <c r="V38" s="68"/>
    </row>
    <row r="39" spans="1:22" ht="16.5" customHeight="1">
      <c r="A39" s="22"/>
      <c r="B39" s="20"/>
      <c r="C39" s="18"/>
      <c r="D39" s="18"/>
      <c r="E39" s="36"/>
      <c r="F39" s="36"/>
      <c r="G39" s="42"/>
      <c r="H39" s="23"/>
      <c r="I39" s="23"/>
      <c r="J39" s="23"/>
      <c r="K39" s="23"/>
      <c r="L39" s="23"/>
      <c r="M39" s="23"/>
      <c r="N39" s="23"/>
      <c r="O39" s="23"/>
      <c r="P39" s="22"/>
      <c r="Q39" s="60"/>
      <c r="R39" s="69"/>
      <c r="S39" s="77"/>
      <c r="U39" s="70"/>
      <c r="V39" s="68"/>
    </row>
    <row r="40" spans="1:22" ht="16.5" customHeight="1">
      <c r="A40" s="22"/>
      <c r="B40" s="20"/>
      <c r="C40" s="18"/>
      <c r="D40" s="18"/>
      <c r="E40" s="36"/>
      <c r="F40" s="36"/>
      <c r="G40" s="42"/>
      <c r="H40" s="23"/>
      <c r="I40" s="23"/>
      <c r="J40" s="23"/>
      <c r="K40" s="23"/>
      <c r="L40" s="23"/>
      <c r="M40" s="23"/>
      <c r="N40" s="23"/>
      <c r="O40" s="23"/>
      <c r="P40" s="23"/>
      <c r="Q40" s="60"/>
      <c r="R40" s="69"/>
      <c r="S40" s="77"/>
      <c r="U40" s="70"/>
      <c r="V40" s="68"/>
    </row>
    <row r="41" spans="1:22" ht="16.5" customHeight="1">
      <c r="A41" s="22"/>
      <c r="B41" s="20"/>
      <c r="C41" s="18"/>
      <c r="D41" s="18"/>
      <c r="E41" s="36"/>
      <c r="F41" s="36"/>
      <c r="G41" s="42"/>
      <c r="H41" s="23"/>
      <c r="I41" s="23"/>
      <c r="J41" s="23"/>
      <c r="K41" s="23"/>
      <c r="L41" s="23"/>
      <c r="M41" s="23"/>
      <c r="N41" s="23"/>
      <c r="O41" s="23"/>
      <c r="P41" s="23"/>
      <c r="Q41" s="60"/>
      <c r="R41" s="69"/>
      <c r="S41" s="77"/>
      <c r="U41" s="70"/>
      <c r="V41" s="68"/>
    </row>
    <row r="42" spans="1:22" ht="16.5" customHeight="1">
      <c r="A42" s="22"/>
      <c r="B42" s="20"/>
      <c r="C42" s="18"/>
      <c r="D42" s="18"/>
      <c r="E42" s="36"/>
      <c r="F42" s="36"/>
      <c r="G42" s="42"/>
      <c r="H42" s="23"/>
      <c r="I42" s="23"/>
      <c r="J42" s="23"/>
      <c r="K42" s="23"/>
      <c r="L42" s="23"/>
      <c r="M42" s="23"/>
      <c r="N42" s="23"/>
      <c r="O42" s="23"/>
      <c r="P42" s="23"/>
      <c r="Q42" s="60"/>
      <c r="R42" s="69"/>
      <c r="S42" s="77"/>
      <c r="U42" s="70"/>
      <c r="V42" s="68"/>
    </row>
    <row r="43" spans="1:22" ht="16.5" customHeight="1">
      <c r="A43" s="22"/>
      <c r="B43" s="20"/>
      <c r="C43" s="18"/>
      <c r="D43" s="55"/>
      <c r="E43" s="36"/>
      <c r="F43" s="36"/>
      <c r="G43" s="42"/>
      <c r="H43" s="23"/>
      <c r="I43" s="23"/>
      <c r="J43" s="23"/>
      <c r="K43" s="23"/>
      <c r="L43" s="23"/>
      <c r="M43" s="23"/>
      <c r="N43" s="23"/>
      <c r="O43" s="23"/>
      <c r="P43" s="23"/>
      <c r="Q43" s="60"/>
      <c r="R43" s="69"/>
      <c r="S43" s="77"/>
      <c r="U43" s="70"/>
      <c r="V43" s="68"/>
    </row>
    <row r="44" spans="1:22" ht="16.5" customHeight="1">
      <c r="A44" s="22"/>
      <c r="B44" s="18"/>
      <c r="C44" s="18"/>
      <c r="D44" s="43"/>
      <c r="E44" s="36"/>
      <c r="F44" s="36"/>
      <c r="G44" s="42"/>
      <c r="H44" s="23"/>
      <c r="I44" s="23"/>
      <c r="J44" s="23"/>
      <c r="K44" s="23"/>
      <c r="L44" s="23"/>
      <c r="M44" s="23"/>
      <c r="N44" s="23"/>
      <c r="O44" s="23"/>
      <c r="P44" s="22"/>
      <c r="Q44" s="60"/>
      <c r="R44" s="69"/>
      <c r="S44" s="79"/>
      <c r="U44" s="72"/>
      <c r="V44" s="68"/>
    </row>
    <row r="45" spans="1:22" ht="16.5" customHeight="1">
      <c r="A45" s="22"/>
      <c r="B45" s="18"/>
      <c r="C45" s="18"/>
      <c r="D45" s="43"/>
      <c r="E45" s="36"/>
      <c r="F45" s="36"/>
      <c r="G45" s="36"/>
      <c r="H45" s="23"/>
      <c r="I45" s="23"/>
      <c r="J45" s="23"/>
      <c r="K45" s="22"/>
      <c r="L45" s="23"/>
      <c r="M45" s="23"/>
      <c r="N45" s="23"/>
      <c r="O45" s="23"/>
      <c r="P45" s="23"/>
      <c r="Q45" s="60"/>
      <c r="R45" s="69"/>
      <c r="S45" s="79"/>
      <c r="U45" s="72"/>
      <c r="V45" s="68"/>
    </row>
    <row r="46" spans="1:22" ht="16.5" customHeight="1">
      <c r="A46" s="22"/>
      <c r="B46" s="20"/>
      <c r="C46" s="18"/>
      <c r="D46" s="18"/>
      <c r="E46" s="33"/>
      <c r="F46" s="34"/>
      <c r="G46" s="34"/>
      <c r="H46" s="23"/>
      <c r="I46" s="23"/>
      <c r="J46" s="23"/>
      <c r="K46" s="23"/>
      <c r="L46" s="23"/>
      <c r="M46" s="22"/>
      <c r="N46" s="23"/>
      <c r="O46" s="23"/>
      <c r="P46" s="23"/>
      <c r="Q46" s="60"/>
      <c r="R46" s="69"/>
      <c r="S46" s="79"/>
      <c r="U46" s="72"/>
      <c r="V46" s="68"/>
    </row>
    <row r="47" spans="1:22" ht="16.5" customHeight="1">
      <c r="A47" s="22"/>
      <c r="B47" s="20"/>
      <c r="C47" s="18"/>
      <c r="D47" s="18"/>
      <c r="E47" s="33"/>
      <c r="F47" s="34"/>
      <c r="G47" s="34"/>
      <c r="H47" s="23"/>
      <c r="I47" s="23"/>
      <c r="J47" s="23"/>
      <c r="K47" s="23"/>
      <c r="L47" s="23"/>
      <c r="M47" s="23"/>
      <c r="N47" s="23"/>
      <c r="O47" s="23"/>
      <c r="P47" s="22"/>
      <c r="Q47" s="60"/>
      <c r="R47" s="69"/>
      <c r="S47" s="79"/>
      <c r="U47" s="72"/>
      <c r="V47" s="68"/>
    </row>
    <row r="48" spans="1:22" ht="16.5" customHeight="1">
      <c r="A48" s="22"/>
      <c r="B48" s="20"/>
      <c r="C48" s="18"/>
      <c r="D48" s="18"/>
      <c r="E48" s="33"/>
      <c r="F48" s="34"/>
      <c r="G48" s="34"/>
      <c r="H48" s="23"/>
      <c r="I48" s="23"/>
      <c r="J48" s="22"/>
      <c r="K48" s="23"/>
      <c r="L48" s="23"/>
      <c r="M48" s="23"/>
      <c r="N48" s="23"/>
      <c r="O48" s="23"/>
      <c r="P48" s="23"/>
      <c r="Q48" s="60"/>
      <c r="R48" s="69"/>
      <c r="S48" s="80"/>
      <c r="U48" s="71"/>
      <c r="V48" s="68"/>
    </row>
    <row r="49" spans="1:22" ht="16.5" customHeight="1">
      <c r="A49" s="22"/>
      <c r="B49" s="20"/>
      <c r="C49" s="18"/>
      <c r="D49" s="18"/>
      <c r="E49" s="33"/>
      <c r="F49" s="34"/>
      <c r="G49" s="34"/>
      <c r="H49" s="23"/>
      <c r="I49" s="23"/>
      <c r="J49" s="22"/>
      <c r="K49" s="23"/>
      <c r="L49" s="23"/>
      <c r="M49" s="23"/>
      <c r="N49" s="23"/>
      <c r="O49" s="23"/>
      <c r="P49" s="23"/>
      <c r="Q49" s="60"/>
      <c r="R49" s="69"/>
      <c r="S49" s="80"/>
      <c r="U49" s="71"/>
      <c r="V49" s="68"/>
    </row>
    <row r="50" spans="1:22" ht="16.5" customHeight="1">
      <c r="A50" s="22"/>
      <c r="B50" s="20"/>
      <c r="C50" s="18"/>
      <c r="D50" s="18"/>
      <c r="E50" s="33"/>
      <c r="F50" s="34"/>
      <c r="G50" s="34"/>
      <c r="H50" s="23"/>
      <c r="I50" s="23"/>
      <c r="J50" s="22"/>
      <c r="K50" s="23"/>
      <c r="L50" s="23"/>
      <c r="M50" s="23"/>
      <c r="N50" s="23"/>
      <c r="O50" s="23"/>
      <c r="P50" s="23"/>
      <c r="Q50" s="60"/>
      <c r="R50" s="69"/>
      <c r="S50" s="80"/>
      <c r="U50" s="71"/>
      <c r="V50" s="68"/>
    </row>
    <row r="51" spans="1:22" ht="16.5" customHeight="1">
      <c r="A51" s="22"/>
      <c r="B51" s="20"/>
      <c r="C51" s="18"/>
      <c r="D51" s="18"/>
      <c r="E51" s="33"/>
      <c r="F51" s="34"/>
      <c r="G51" s="34"/>
      <c r="H51" s="23"/>
      <c r="I51" s="23"/>
      <c r="J51" s="22"/>
      <c r="K51" s="23"/>
      <c r="L51" s="23"/>
      <c r="M51" s="23"/>
      <c r="N51" s="23"/>
      <c r="O51" s="23"/>
      <c r="P51" s="23"/>
      <c r="Q51" s="60"/>
      <c r="R51" s="69"/>
      <c r="S51" s="80"/>
      <c r="U51" s="71"/>
      <c r="V51" s="68"/>
    </row>
    <row r="52" spans="1:22" ht="16.5" customHeight="1">
      <c r="A52" s="22"/>
      <c r="B52" s="20"/>
      <c r="C52" s="18"/>
      <c r="D52" s="45"/>
      <c r="E52" s="33"/>
      <c r="F52" s="34"/>
      <c r="G52" s="34"/>
      <c r="H52" s="23"/>
      <c r="I52" s="23"/>
      <c r="J52" s="22"/>
      <c r="K52" s="23"/>
      <c r="L52" s="23"/>
      <c r="M52" s="23"/>
      <c r="N52" s="23"/>
      <c r="O52" s="23"/>
      <c r="P52" s="23"/>
      <c r="Q52" s="60"/>
      <c r="R52" s="69"/>
      <c r="S52" s="80"/>
      <c r="U52" s="71"/>
      <c r="V52" s="68"/>
    </row>
    <row r="53" spans="1:22" ht="16.5" customHeight="1">
      <c r="A53" s="22"/>
      <c r="B53" s="20"/>
      <c r="C53" s="18"/>
      <c r="D53" s="45"/>
      <c r="E53" s="33"/>
      <c r="F53" s="34"/>
      <c r="G53" s="34"/>
      <c r="H53" s="23"/>
      <c r="I53" s="23"/>
      <c r="J53" s="22"/>
      <c r="K53" s="23"/>
      <c r="L53" s="23"/>
      <c r="M53" s="23"/>
      <c r="N53" s="23"/>
      <c r="O53" s="23"/>
      <c r="P53" s="23"/>
      <c r="Q53" s="60"/>
      <c r="R53" s="69"/>
      <c r="S53" s="80"/>
      <c r="U53" s="71"/>
      <c r="V53" s="68"/>
    </row>
    <row r="54" spans="1:22" ht="16.5" customHeight="1">
      <c r="A54" s="22"/>
      <c r="B54" s="20"/>
      <c r="C54" s="18"/>
      <c r="D54" s="45"/>
      <c r="E54" s="33"/>
      <c r="F54" s="34"/>
      <c r="G54" s="34"/>
      <c r="H54" s="23"/>
      <c r="I54" s="23"/>
      <c r="J54" s="22"/>
      <c r="K54" s="23"/>
      <c r="L54" s="23"/>
      <c r="M54" s="23"/>
      <c r="N54" s="23"/>
      <c r="O54" s="23"/>
      <c r="P54" s="23"/>
      <c r="Q54" s="60"/>
      <c r="R54" s="69"/>
      <c r="S54" s="80"/>
      <c r="U54" s="71"/>
      <c r="V54" s="68"/>
    </row>
    <row r="55" spans="1:22" ht="16.5" customHeight="1">
      <c r="A55" s="22"/>
      <c r="B55" s="20"/>
      <c r="C55" s="18"/>
      <c r="D55" s="45"/>
      <c r="E55" s="33"/>
      <c r="F55" s="34"/>
      <c r="G55" s="34"/>
      <c r="H55" s="23"/>
      <c r="I55" s="23"/>
      <c r="J55" s="22"/>
      <c r="K55" s="23"/>
      <c r="L55" s="23"/>
      <c r="M55" s="23"/>
      <c r="N55" s="23"/>
      <c r="O55" s="23"/>
      <c r="P55" s="23"/>
      <c r="Q55" s="60"/>
      <c r="R55" s="69"/>
      <c r="S55" s="80"/>
      <c r="U55" s="71"/>
      <c r="V55" s="68"/>
    </row>
    <row r="56" spans="1:22" ht="16.5" customHeight="1">
      <c r="A56" s="22"/>
      <c r="B56" s="20"/>
      <c r="C56" s="18"/>
      <c r="D56" s="45"/>
      <c r="E56" s="33"/>
      <c r="F56" s="34"/>
      <c r="G56" s="34"/>
      <c r="H56" s="23"/>
      <c r="I56" s="23"/>
      <c r="J56" s="22"/>
      <c r="K56" s="23"/>
      <c r="L56" s="23"/>
      <c r="M56" s="23"/>
      <c r="N56" s="23"/>
      <c r="O56" s="23"/>
      <c r="P56" s="23"/>
      <c r="Q56" s="60"/>
      <c r="R56" s="69"/>
      <c r="S56" s="80"/>
      <c r="U56" s="71"/>
      <c r="V56" s="68"/>
    </row>
    <row r="57" spans="1:22" ht="16.5" customHeight="1">
      <c r="A57" s="22"/>
      <c r="B57" s="20"/>
      <c r="C57" s="18"/>
      <c r="D57" s="45"/>
      <c r="E57" s="33"/>
      <c r="F57" s="34"/>
      <c r="G57" s="34"/>
      <c r="H57" s="23"/>
      <c r="I57" s="23"/>
      <c r="J57" s="22"/>
      <c r="K57" s="23"/>
      <c r="L57" s="23"/>
      <c r="M57" s="23"/>
      <c r="N57" s="23"/>
      <c r="O57" s="23"/>
      <c r="P57" s="23"/>
      <c r="Q57" s="60"/>
      <c r="R57" s="69"/>
      <c r="S57" s="80"/>
      <c r="U57" s="71"/>
      <c r="V57" s="68"/>
    </row>
    <row r="58" spans="1:22" ht="16.5" customHeight="1">
      <c r="A58" s="22"/>
      <c r="B58" s="20"/>
      <c r="C58" s="18"/>
      <c r="D58" s="45"/>
      <c r="E58" s="33"/>
      <c r="F58" s="34"/>
      <c r="G58" s="34"/>
      <c r="H58" s="23"/>
      <c r="I58" s="23"/>
      <c r="J58" s="22"/>
      <c r="K58" s="23"/>
      <c r="L58" s="23"/>
      <c r="M58" s="23"/>
      <c r="N58" s="23"/>
      <c r="O58" s="23"/>
      <c r="P58" s="23"/>
      <c r="Q58" s="60"/>
      <c r="R58" s="69"/>
      <c r="S58" s="80"/>
      <c r="U58" s="71"/>
      <c r="V58" s="68"/>
    </row>
    <row r="59" spans="1:22" ht="16.5" customHeight="1">
      <c r="A59" s="22"/>
      <c r="B59" s="20"/>
      <c r="C59" s="18"/>
      <c r="D59" s="45"/>
      <c r="E59" s="33"/>
      <c r="F59" s="34"/>
      <c r="G59" s="34"/>
      <c r="H59" s="23"/>
      <c r="I59" s="23"/>
      <c r="J59" s="22"/>
      <c r="K59" s="23"/>
      <c r="L59" s="23"/>
      <c r="M59" s="23"/>
      <c r="N59" s="23"/>
      <c r="O59" s="23"/>
      <c r="P59" s="23"/>
      <c r="Q59" s="60"/>
      <c r="R59" s="69"/>
      <c r="S59" s="80"/>
      <c r="U59" s="71"/>
      <c r="V59" s="68"/>
    </row>
    <row r="60" spans="1:22" ht="16.5" customHeight="1">
      <c r="A60" s="22"/>
      <c r="B60" s="20"/>
      <c r="C60" s="18"/>
      <c r="D60" s="45"/>
      <c r="E60" s="33"/>
      <c r="F60" s="34"/>
      <c r="G60" s="34"/>
      <c r="H60" s="23"/>
      <c r="I60" s="23"/>
      <c r="J60" s="22"/>
      <c r="K60" s="23"/>
      <c r="L60" s="23"/>
      <c r="M60" s="23"/>
      <c r="N60" s="23"/>
      <c r="O60" s="23"/>
      <c r="P60" s="23"/>
      <c r="Q60" s="60"/>
      <c r="R60" s="69"/>
      <c r="S60" s="80"/>
      <c r="U60" s="71"/>
      <c r="V60" s="68"/>
    </row>
    <row r="61" spans="1:22" ht="16.5" customHeight="1">
      <c r="A61" s="22"/>
      <c r="B61" s="20"/>
      <c r="C61" s="18"/>
      <c r="D61" s="45"/>
      <c r="E61" s="33"/>
      <c r="F61" s="34"/>
      <c r="G61" s="34"/>
      <c r="H61" s="23"/>
      <c r="I61" s="23"/>
      <c r="J61" s="22"/>
      <c r="K61" s="23"/>
      <c r="L61" s="23"/>
      <c r="M61" s="23"/>
      <c r="N61" s="23"/>
      <c r="O61" s="23"/>
      <c r="P61" s="23"/>
      <c r="Q61" s="60"/>
      <c r="R61" s="69"/>
      <c r="S61" s="80"/>
      <c r="U61" s="71"/>
      <c r="V61" s="68"/>
    </row>
    <row r="62" spans="1:22" ht="16.5" customHeight="1">
      <c r="A62" s="22"/>
      <c r="B62" s="20"/>
      <c r="C62" s="18"/>
      <c r="D62" s="45"/>
      <c r="E62" s="33"/>
      <c r="F62" s="34"/>
      <c r="G62" s="34"/>
      <c r="H62" s="23"/>
      <c r="I62" s="23"/>
      <c r="J62" s="22"/>
      <c r="K62" s="23"/>
      <c r="L62" s="23"/>
      <c r="M62" s="23"/>
      <c r="N62" s="23"/>
      <c r="O62" s="23"/>
      <c r="P62" s="23"/>
      <c r="Q62" s="60"/>
      <c r="R62" s="69"/>
      <c r="S62" s="80"/>
      <c r="U62" s="71"/>
      <c r="V62" s="68"/>
    </row>
    <row r="63" spans="1:22" ht="16.5" customHeight="1">
      <c r="A63" s="22"/>
      <c r="B63" s="20"/>
      <c r="C63" s="18"/>
      <c r="D63" s="45"/>
      <c r="E63" s="33"/>
      <c r="F63" s="34"/>
      <c r="G63" s="34"/>
      <c r="H63" s="23"/>
      <c r="I63" s="23"/>
      <c r="J63" s="22"/>
      <c r="K63" s="23"/>
      <c r="L63" s="23"/>
      <c r="M63" s="23"/>
      <c r="N63" s="23"/>
      <c r="O63" s="23"/>
      <c r="P63" s="23"/>
      <c r="Q63" s="60"/>
      <c r="R63" s="69"/>
      <c r="S63" s="80"/>
      <c r="U63" s="71"/>
      <c r="V63" s="68"/>
    </row>
    <row r="64" spans="1:22" ht="16.5" customHeight="1">
      <c r="A64" s="22"/>
      <c r="B64" s="20"/>
      <c r="C64" s="18"/>
      <c r="D64" s="45"/>
      <c r="E64" s="33"/>
      <c r="F64" s="34"/>
      <c r="G64" s="34"/>
      <c r="H64" s="23"/>
      <c r="I64" s="23"/>
      <c r="J64" s="22"/>
      <c r="K64" s="23"/>
      <c r="L64" s="23"/>
      <c r="M64" s="23"/>
      <c r="N64" s="23"/>
      <c r="O64" s="23"/>
      <c r="P64" s="23"/>
      <c r="Q64" s="60"/>
      <c r="R64" s="69"/>
      <c r="S64" s="80"/>
      <c r="U64" s="71"/>
      <c r="V64" s="68"/>
    </row>
    <row r="65" spans="1:23" ht="16.5" customHeight="1">
      <c r="A65" s="22"/>
      <c r="B65" s="20"/>
      <c r="C65" s="18"/>
      <c r="D65" s="45"/>
      <c r="E65" s="33"/>
      <c r="F65" s="34"/>
      <c r="G65" s="34"/>
      <c r="H65" s="23"/>
      <c r="I65" s="23"/>
      <c r="J65" s="22"/>
      <c r="K65" s="23"/>
      <c r="L65" s="23"/>
      <c r="M65" s="23"/>
      <c r="N65" s="23"/>
      <c r="O65" s="23"/>
      <c r="P65" s="23"/>
      <c r="Q65" s="60"/>
      <c r="R65" s="69"/>
      <c r="S65" s="80"/>
      <c r="U65" s="71"/>
      <c r="V65" s="68"/>
    </row>
    <row r="66" spans="1:23" ht="16.5" customHeight="1">
      <c r="A66" s="22"/>
      <c r="B66" s="20"/>
      <c r="C66" s="18"/>
      <c r="D66" s="45"/>
      <c r="E66" s="33"/>
      <c r="F66" s="34"/>
      <c r="G66" s="34"/>
      <c r="H66" s="23"/>
      <c r="I66" s="23"/>
      <c r="J66" s="22"/>
      <c r="K66" s="23"/>
      <c r="L66" s="23"/>
      <c r="M66" s="23"/>
      <c r="N66" s="23"/>
      <c r="O66" s="23"/>
      <c r="P66" s="23"/>
      <c r="Q66" s="60"/>
      <c r="R66" s="69"/>
      <c r="S66" s="80"/>
      <c r="U66" s="71"/>
      <c r="V66" s="68"/>
    </row>
    <row r="67" spans="1:23" ht="16.5" customHeight="1">
      <c r="A67" s="22"/>
      <c r="B67" s="20"/>
      <c r="C67" s="18"/>
      <c r="D67" s="45"/>
      <c r="E67" s="33"/>
      <c r="F67" s="34"/>
      <c r="G67" s="34"/>
      <c r="H67" s="23"/>
      <c r="I67" s="23"/>
      <c r="J67" s="22"/>
      <c r="K67" s="23"/>
      <c r="L67" s="23"/>
      <c r="M67" s="23"/>
      <c r="N67" s="23"/>
      <c r="O67" s="23"/>
      <c r="P67" s="23"/>
      <c r="Q67" s="60"/>
      <c r="R67" s="69"/>
      <c r="S67" s="80"/>
      <c r="U67" s="71"/>
      <c r="V67" s="68"/>
    </row>
    <row r="68" spans="1:23" ht="16.5" customHeight="1">
      <c r="A68" s="22"/>
      <c r="B68" s="20"/>
      <c r="C68" s="18"/>
      <c r="D68" s="18"/>
      <c r="E68" s="33"/>
      <c r="F68" s="34"/>
      <c r="G68" s="34"/>
      <c r="H68" s="23"/>
      <c r="I68" s="23"/>
      <c r="J68" s="22"/>
      <c r="K68" s="23"/>
      <c r="L68" s="23"/>
      <c r="M68" s="23"/>
      <c r="N68" s="23"/>
      <c r="O68" s="23"/>
      <c r="P68" s="23"/>
      <c r="Q68" s="60"/>
      <c r="R68" s="73"/>
      <c r="S68" s="80"/>
      <c r="U68" s="71"/>
      <c r="V68" s="68"/>
    </row>
    <row r="69" spans="1:23" ht="16.5" customHeight="1">
      <c r="A69" s="22"/>
      <c r="B69" s="20"/>
      <c r="C69" s="18"/>
      <c r="D69" s="18"/>
      <c r="E69" s="33"/>
      <c r="F69" s="34"/>
      <c r="G69" s="34"/>
      <c r="H69" s="23"/>
      <c r="I69" s="23"/>
      <c r="J69" s="22"/>
      <c r="K69" s="23"/>
      <c r="L69" s="23"/>
      <c r="M69" s="23"/>
      <c r="N69" s="23"/>
      <c r="O69" s="23"/>
      <c r="P69" s="23"/>
      <c r="Q69" s="60"/>
      <c r="R69" s="73"/>
      <c r="S69" s="80"/>
      <c r="U69" s="71"/>
      <c r="V69" s="68"/>
    </row>
    <row r="70" spans="1:23" ht="16.5" customHeight="1">
      <c r="A70" s="22"/>
      <c r="B70" s="20"/>
      <c r="C70" s="18"/>
      <c r="D70" s="18"/>
      <c r="E70" s="33"/>
      <c r="F70" s="34"/>
      <c r="G70" s="34"/>
      <c r="H70" s="23"/>
      <c r="I70" s="23"/>
      <c r="J70" s="22"/>
      <c r="K70" s="23"/>
      <c r="L70" s="23"/>
      <c r="M70" s="23"/>
      <c r="N70" s="23"/>
      <c r="O70" s="23"/>
      <c r="P70" s="23"/>
      <c r="Q70" s="60"/>
      <c r="R70" s="73"/>
      <c r="S70" s="80"/>
      <c r="U70" s="71"/>
      <c r="V70" s="68"/>
    </row>
    <row r="71" spans="1:23" ht="16.5" customHeight="1">
      <c r="A71" s="22"/>
      <c r="B71" s="20"/>
      <c r="C71" s="18"/>
      <c r="D71" s="18"/>
      <c r="E71" s="33"/>
      <c r="F71" s="34"/>
      <c r="G71" s="34"/>
      <c r="H71" s="23"/>
      <c r="I71" s="23"/>
      <c r="J71" s="22"/>
      <c r="K71" s="23"/>
      <c r="L71" s="23"/>
      <c r="M71" s="23"/>
      <c r="N71" s="23"/>
      <c r="O71" s="23"/>
      <c r="P71" s="23"/>
      <c r="Q71" s="60"/>
      <c r="R71" s="73"/>
      <c r="S71" s="80"/>
      <c r="U71" s="71"/>
      <c r="V71" s="68"/>
    </row>
    <row r="72" spans="1:23" ht="16.5" customHeight="1">
      <c r="A72" s="22"/>
      <c r="B72" s="20"/>
      <c r="C72" s="18"/>
      <c r="D72" s="18"/>
      <c r="E72" s="33"/>
      <c r="F72" s="34"/>
      <c r="G72" s="34"/>
      <c r="H72" s="23"/>
      <c r="I72" s="23"/>
      <c r="J72" s="22"/>
      <c r="K72" s="23"/>
      <c r="L72" s="23"/>
      <c r="M72" s="23"/>
      <c r="N72" s="23"/>
      <c r="O72" s="23"/>
      <c r="P72" s="23"/>
      <c r="Q72" s="60"/>
      <c r="R72" s="73"/>
      <c r="S72" s="80"/>
      <c r="U72" s="71"/>
      <c r="V72" s="68"/>
    </row>
    <row r="73" spans="1:23" ht="16.5" customHeight="1">
      <c r="A73" s="22"/>
      <c r="B73" s="20"/>
      <c r="C73" s="18"/>
      <c r="D73" s="18"/>
      <c r="E73" s="33"/>
      <c r="F73" s="34"/>
      <c r="G73" s="34"/>
      <c r="H73" s="23"/>
      <c r="I73" s="23"/>
      <c r="J73" s="22"/>
      <c r="K73" s="23"/>
      <c r="L73" s="23"/>
      <c r="M73" s="23"/>
      <c r="N73" s="23"/>
      <c r="O73" s="23"/>
      <c r="P73" s="23"/>
      <c r="Q73" s="60"/>
      <c r="R73" s="73"/>
      <c r="S73" s="80"/>
      <c r="U73" s="71"/>
      <c r="V73" s="68"/>
    </row>
    <row r="74" spans="1:23" ht="16.5" customHeight="1">
      <c r="A74" s="22"/>
      <c r="B74" s="20"/>
      <c r="C74" s="18"/>
      <c r="D74" s="18"/>
      <c r="E74" s="33"/>
      <c r="F74" s="34"/>
      <c r="G74" s="34"/>
      <c r="H74" s="23"/>
      <c r="I74" s="23"/>
      <c r="J74" s="22"/>
      <c r="K74" s="23"/>
      <c r="L74" s="23"/>
      <c r="M74" s="23"/>
      <c r="N74" s="23"/>
      <c r="O74" s="23"/>
      <c r="P74" s="23"/>
      <c r="Q74" s="60"/>
      <c r="R74" s="73"/>
      <c r="S74" s="80"/>
      <c r="U74" s="71"/>
      <c r="V74" s="68"/>
    </row>
    <row r="75" spans="1:23" ht="16.5" customHeight="1">
      <c r="A75" s="22"/>
      <c r="B75" s="20"/>
      <c r="C75" s="18"/>
      <c r="D75" s="18"/>
      <c r="E75" s="33"/>
      <c r="F75" s="34"/>
      <c r="G75" s="34"/>
      <c r="H75" s="23"/>
      <c r="I75" s="23"/>
      <c r="J75" s="22"/>
      <c r="K75" s="23"/>
      <c r="L75" s="23"/>
      <c r="M75" s="23"/>
      <c r="N75" s="23"/>
      <c r="O75" s="23"/>
      <c r="P75" s="23"/>
      <c r="Q75" s="60"/>
      <c r="R75" s="73"/>
      <c r="S75" s="80"/>
      <c r="U75" s="71"/>
      <c r="V75" s="68"/>
    </row>
    <row r="76" spans="1:23" ht="16.5" customHeight="1">
      <c r="A76" s="22"/>
      <c r="B76" s="20"/>
      <c r="C76" s="18"/>
      <c r="D76" s="18"/>
      <c r="E76" s="33"/>
      <c r="F76" s="34"/>
      <c r="G76" s="34"/>
      <c r="H76" s="23"/>
      <c r="I76" s="23"/>
      <c r="J76" s="22"/>
      <c r="K76" s="23"/>
      <c r="L76" s="23"/>
      <c r="M76" s="23"/>
      <c r="N76" s="23"/>
      <c r="O76" s="23"/>
      <c r="P76" s="23"/>
      <c r="Q76" s="60"/>
      <c r="R76" s="73"/>
      <c r="S76" s="80"/>
      <c r="U76" s="71"/>
      <c r="V76" s="68"/>
    </row>
    <row r="77" spans="1:23" ht="16.5" customHeight="1">
      <c r="A77" s="22"/>
      <c r="B77" s="20"/>
      <c r="C77" s="18"/>
      <c r="D77" s="18"/>
      <c r="E77" s="33"/>
      <c r="F77" s="34"/>
      <c r="G77" s="34"/>
      <c r="H77" s="23"/>
      <c r="I77" s="23"/>
      <c r="J77" s="22"/>
      <c r="K77" s="23"/>
      <c r="L77" s="23"/>
      <c r="M77" s="23"/>
      <c r="N77" s="23"/>
      <c r="O77" s="23"/>
      <c r="P77" s="23"/>
      <c r="Q77" s="60"/>
      <c r="R77" s="73"/>
      <c r="S77" s="80"/>
      <c r="U77" s="71"/>
      <c r="V77" s="68"/>
    </row>
    <row r="78" spans="1:23" ht="16.5" customHeight="1">
      <c r="A78" s="5"/>
      <c r="B78" s="2"/>
      <c r="C78" s="1"/>
      <c r="D78" s="1"/>
      <c r="E78" s="33"/>
      <c r="F78" s="34"/>
      <c r="G78" s="34"/>
      <c r="H78" s="23"/>
      <c r="I78" s="23"/>
      <c r="J78" s="22"/>
      <c r="K78" s="23"/>
      <c r="L78" s="23"/>
      <c r="M78" s="23"/>
      <c r="N78" s="23"/>
      <c r="O78" s="23"/>
      <c r="P78" s="23"/>
      <c r="Q78" s="60"/>
      <c r="R78" s="73"/>
      <c r="S78" s="81"/>
      <c r="U78" s="71"/>
      <c r="V78" s="68"/>
    </row>
    <row r="79" spans="1:23" ht="16.5" customHeight="1">
      <c r="A79" s="5"/>
      <c r="B79" s="2"/>
      <c r="C79" s="1"/>
      <c r="D79" s="1"/>
      <c r="E79" s="33"/>
      <c r="F79" s="34"/>
      <c r="G79" s="34"/>
      <c r="H79" s="23"/>
      <c r="I79" s="23"/>
      <c r="J79" s="22"/>
      <c r="K79" s="23"/>
      <c r="L79" s="23"/>
      <c r="M79" s="23"/>
      <c r="N79" s="23"/>
      <c r="O79" s="23"/>
      <c r="P79" s="23"/>
      <c r="Q79" s="60"/>
      <c r="R79" s="73"/>
      <c r="S79" s="81"/>
      <c r="U79" s="71"/>
      <c r="V79" s="68"/>
    </row>
    <row r="80" spans="1:23" ht="20.25">
      <c r="A80" s="46"/>
      <c r="B80" s="46"/>
      <c r="C80" s="46"/>
      <c r="D80" s="46"/>
      <c r="E80" s="47"/>
      <c r="F80" s="47"/>
      <c r="G80" s="47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74"/>
      <c r="S80" s="46"/>
      <c r="U80" s="74"/>
      <c r="V80" s="75"/>
      <c r="W80" s="75"/>
    </row>
    <row r="82" spans="18:18" ht="16.5" customHeight="1">
      <c r="R82" s="73"/>
    </row>
    <row r="83" spans="18:18" ht="16.5" customHeight="1">
      <c r="R83" s="73"/>
    </row>
  </sheetData>
  <mergeCells count="37"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  <mergeCell ref="S5:S6"/>
    <mergeCell ref="M7:M9"/>
    <mergeCell ref="M5:M6"/>
    <mergeCell ref="N5:N6"/>
    <mergeCell ref="E5:G5"/>
    <mergeCell ref="I7:I9"/>
    <mergeCell ref="J7:J9"/>
    <mergeCell ref="K7:K9"/>
    <mergeCell ref="I5:I6"/>
    <mergeCell ref="J5:J6"/>
    <mergeCell ref="K5:K6"/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19</xdr:col>
                    <xdr:colOff>342900</xdr:colOff>
                    <xdr:row>0</xdr:row>
                    <xdr:rowOff>104775</xdr:rowOff>
                  </from>
                  <to>
                    <xdr:col>21</xdr:col>
                    <xdr:colOff>914400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19</xdr:col>
                    <xdr:colOff>323850</xdr:colOff>
                    <xdr:row>1</xdr:row>
                    <xdr:rowOff>209550</xdr:rowOff>
                  </from>
                  <to>
                    <xdr:col>22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6"/>
  <sheetViews>
    <sheetView zoomScale="85" zoomScaleNormal="85" workbookViewId="0">
      <selection activeCell="F3" sqref="F3"/>
    </sheetView>
  </sheetViews>
  <sheetFormatPr defaultRowHeight="14.25"/>
  <cols>
    <col min="1" max="1" width="3.25" customWidth="1"/>
    <col min="2" max="2" width="37.25" customWidth="1"/>
    <col min="3" max="3" width="8.625" customWidth="1"/>
    <col min="4" max="4" width="13.625" bestFit="1" customWidth="1"/>
  </cols>
  <sheetData>
    <row r="1" spans="2:4" ht="30.75" customHeight="1" thickBot="1"/>
    <row r="2" spans="2:4" ht="30.75" customHeight="1" thickBot="1">
      <c r="B2" s="49" t="str">
        <f>Publish!C4</f>
        <v>01.11.2025</v>
      </c>
      <c r="C2" s="50" t="s">
        <v>31</v>
      </c>
      <c r="D2" s="50" t="s">
        <v>24</v>
      </c>
    </row>
    <row r="3" spans="2:4" ht="30.75" customHeight="1" thickBot="1">
      <c r="B3" s="53" t="s">
        <v>15</v>
      </c>
      <c r="C3" s="54" t="s">
        <v>43</v>
      </c>
      <c r="D3" s="54" t="s">
        <v>43</v>
      </c>
    </row>
    <row r="4" spans="2:4" ht="30.75" customHeight="1" thickBot="1">
      <c r="B4" s="53" t="s">
        <v>32</v>
      </c>
      <c r="C4" s="54" t="s">
        <v>43</v>
      </c>
      <c r="D4" s="54" t="s">
        <v>43</v>
      </c>
    </row>
    <row r="5" spans="2:4" ht="30.75" customHeight="1" thickBot="1">
      <c r="B5" s="53" t="s">
        <v>33</v>
      </c>
      <c r="C5" s="51">
        <f>Startup!E7+Startup!E9+Process!E7</f>
        <v>23</v>
      </c>
      <c r="D5" s="54">
        <f>IFERROR(Startup!R7+Startup!R9+Process!R7,0)</f>
        <v>0</v>
      </c>
    </row>
    <row r="6" spans="2:4" ht="30.75" customHeight="1" thickBot="1">
      <c r="B6" s="53" t="s">
        <v>34</v>
      </c>
      <c r="C6" s="54">
        <f>Startup!E8+Process!E9</f>
        <v>12</v>
      </c>
      <c r="D6" s="54">
        <f>IFERROR(ROUND(((C6)/SUM($C$6:$C$8))*$D$5,0),0)</f>
        <v>0</v>
      </c>
    </row>
    <row r="7" spans="2:4" ht="30.75" customHeight="1" thickBot="1">
      <c r="B7" s="53" t="s">
        <v>35</v>
      </c>
      <c r="C7" s="54">
        <f>Startup!F8+Process!F9</f>
        <v>0</v>
      </c>
      <c r="D7" s="54">
        <f>IFERROR(ROUND(((C7)/SUM($C$6:$C$8))*$D$5,0),0)</f>
        <v>0</v>
      </c>
    </row>
    <row r="8" spans="2:4" ht="30.75" customHeight="1" thickBot="1">
      <c r="B8" s="53" t="s">
        <v>36</v>
      </c>
      <c r="C8" s="54">
        <f>Startup!G8+Process!G9</f>
        <v>0</v>
      </c>
      <c r="D8" s="54">
        <f>IFERROR(ROUND(((C8)/SUM($C$6:$C$8))*$D$5,0),0)</f>
        <v>0</v>
      </c>
    </row>
    <row r="9" spans="2:4" ht="30.75" customHeight="1" thickBot="1">
      <c r="B9" s="53" t="s">
        <v>37</v>
      </c>
      <c r="C9" s="51">
        <f>Process!E7</f>
        <v>2</v>
      </c>
      <c r="D9" s="54" t="str">
        <f>Process!R7</f>
        <v>0</v>
      </c>
    </row>
    <row r="10" spans="2:4" ht="30.75" customHeight="1" thickBot="1">
      <c r="B10" s="53" t="s">
        <v>38</v>
      </c>
      <c r="C10" s="51">
        <f>Startup!E7</f>
        <v>10</v>
      </c>
      <c r="D10" s="54">
        <f>IFERROR(Startup!R7,0)</f>
        <v>0</v>
      </c>
    </row>
    <row r="11" spans="2:4" ht="30.75" customHeight="1" thickBot="1">
      <c r="B11" s="53" t="s">
        <v>39</v>
      </c>
      <c r="C11" s="51">
        <f>Startup!E9</f>
        <v>11</v>
      </c>
      <c r="D11" s="54" t="str">
        <f>Startup!R9</f>
        <v>0</v>
      </c>
    </row>
    <row r="12" spans="2:4" ht="30.75" customHeight="1" thickBot="1">
      <c r="B12" s="53" t="s">
        <v>40</v>
      </c>
      <c r="C12" s="162">
        <f>COUNTA(Startup!I11:I246)</f>
        <v>0</v>
      </c>
      <c r="D12" s="163"/>
    </row>
    <row r="13" spans="2:4" ht="30.75" customHeight="1" thickBot="1">
      <c r="B13" s="53" t="s">
        <v>41</v>
      </c>
      <c r="C13" s="162">
        <f>COUNTA(Startup!J11:J246)</f>
        <v>1</v>
      </c>
      <c r="D13" s="163"/>
    </row>
    <row r="14" spans="2:4" ht="30.75" customHeight="1" thickBot="1">
      <c r="B14" s="53" t="s">
        <v>42</v>
      </c>
      <c r="C14" s="162">
        <f>COUNTA(Startup!H11:H246)</f>
        <v>2</v>
      </c>
      <c r="D14" s="163"/>
    </row>
    <row r="15" spans="2:4" ht="30.75" customHeight="1"/>
    <row r="16" spans="2:4" ht="30.75" customHeight="1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8"/>
  <sheetViews>
    <sheetView tabSelected="1" workbookViewId="0"/>
  </sheetViews>
  <sheetFormatPr defaultColWidth="9.125" defaultRowHeight="14.25"/>
  <cols>
    <col min="1" max="1" width="17.875" style="6" customWidth="1"/>
    <col min="2" max="2" width="24.125" style="8" customWidth="1"/>
    <col min="3" max="3" width="36" style="6" customWidth="1"/>
    <col min="4" max="16384" width="9.125" style="6"/>
  </cols>
  <sheetData>
    <row r="1" spans="1:5">
      <c r="A1" s="17"/>
    </row>
    <row r="2" spans="1:5" ht="123.75" customHeight="1" thickBot="1"/>
    <row r="3" spans="1:5" ht="24.95" customHeight="1">
      <c r="B3" s="164" t="s">
        <v>29</v>
      </c>
      <c r="C3" s="165"/>
    </row>
    <row r="4" spans="1:5" ht="24.95" customHeight="1">
      <c r="B4" s="9" t="s">
        <v>26</v>
      </c>
      <c r="C4" s="16" t="s">
        <v>55</v>
      </c>
      <c r="D4" s="7"/>
      <c r="E4" s="7"/>
    </row>
    <row r="5" spans="1:5" ht="24.95" customHeight="1">
      <c r="B5" s="9" t="s">
        <v>27</v>
      </c>
      <c r="C5" s="16" t="s">
        <v>56</v>
      </c>
    </row>
    <row r="6" spans="1:5">
      <c r="B6" s="10"/>
      <c r="C6" s="11"/>
    </row>
    <row r="7" spans="1:5">
      <c r="B7" s="10"/>
      <c r="C7" s="11"/>
    </row>
    <row r="8" spans="1:5" ht="15" thickBot="1">
      <c r="B8" s="12"/>
      <c r="C8" s="13"/>
    </row>
  </sheetData>
  <sheetProtection password="D0D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1343025</xdr:colOff>
                    <xdr:row>5</xdr:row>
                    <xdr:rowOff>66675</xdr:rowOff>
                  </from>
                  <to>
                    <xdr:col>2</xdr:col>
                    <xdr:colOff>1019175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Startup</vt:lpstr>
      <vt:lpstr>Process</vt:lpstr>
      <vt:lpstr>Summary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Lenovo</cp:lastModifiedBy>
  <cp:revision/>
  <cp:lastPrinted>2025-10-25T20:08:17Z</cp:lastPrinted>
  <dcterms:created xsi:type="dcterms:W3CDTF">2025-09-09T11:13:22Z</dcterms:created>
  <dcterms:modified xsi:type="dcterms:W3CDTF">2025-11-01T16:16:16Z</dcterms:modified>
  <cp:category/>
  <cp:contentStatus/>
</cp:coreProperties>
</file>