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MB\"/>
    </mc:Choice>
  </mc:AlternateContent>
  <xr:revisionPtr revIDLastSave="0" documentId="13_ncr:1_{8FB0911E-35F2-4BD1-AEC0-307B4CA426C2}" xr6:coauthVersionLast="47" xr6:coauthVersionMax="47" xr10:uidLastSave="{00000000-0000-0000-0000-000000000000}"/>
  <bookViews>
    <workbookView xWindow="-120" yWindow="-120" windowWidth="21840" windowHeight="13020" tabRatio="754" firstSheet="1" activeTab="4" xr2:uid="{00000000-000D-0000-FFFF-FFFF00000000}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  <sheet name="Old" sheetId="6" r:id="rId6"/>
  </sheets>
  <functionGroups builtInGroupCount="19"/>
  <definedNames>
    <definedName name="_xlnm._FilterDatabase" localSheetId="1" hidden="1">Startup!$A$5:$AA$88</definedName>
    <definedName name="_xleta.SUM" hidden="1" xlm="1">#NAME?</definedName>
    <definedName name="_xleta.TEXT" hidden="1" xlm="1">#NAME?</definedName>
    <definedName name="Startup">Startup!$A$5:$W$154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Y12" i="1"/>
  <c r="Y13" i="1"/>
  <c r="Y14" i="1"/>
  <c r="Y15" i="1"/>
  <c r="Y16" i="1"/>
  <c r="Y17" i="1"/>
  <c r="Y18" i="1"/>
  <c r="Y19" i="1"/>
  <c r="Y20" i="1"/>
  <c r="Y21" i="1"/>
  <c r="X12" i="1"/>
  <c r="X13" i="1"/>
  <c r="X14" i="1"/>
  <c r="X15" i="1"/>
  <c r="X16" i="1"/>
  <c r="X17" i="1"/>
  <c r="X18" i="1"/>
  <c r="X19" i="1"/>
  <c r="X20" i="1"/>
  <c r="X21" i="1"/>
  <c r="Z11" i="1"/>
  <c r="Y11" i="1"/>
  <c r="X11" i="1"/>
  <c r="C5" i="3"/>
  <c r="AA11" i="1"/>
  <c r="AA14" i="1"/>
  <c r="AA12" i="1"/>
  <c r="AA21" i="1"/>
  <c r="AA20" i="1"/>
  <c r="AA15" i="1"/>
  <c r="AA18" i="1"/>
  <c r="AA13" i="1"/>
  <c r="AA19" i="1"/>
  <c r="AA17" i="1"/>
  <c r="H7" i="2"/>
  <c r="P7" i="2"/>
  <c r="R14" i="1"/>
  <c r="V7" i="1"/>
  <c r="J7" i="1"/>
  <c r="AA25" i="1"/>
  <c r="AA75" i="1"/>
  <c r="AA24" i="1"/>
  <c r="AA82" i="1"/>
  <c r="I7" i="2"/>
  <c r="Q7" i="2"/>
  <c r="R15" i="1"/>
  <c r="W7" i="1"/>
  <c r="AA43" i="1"/>
  <c r="AA32" i="1"/>
  <c r="AA85" i="1"/>
  <c r="AA74" i="1"/>
  <c r="AA22" i="1"/>
  <c r="AA86" i="1"/>
  <c r="J7" i="2"/>
  <c r="E9" i="2"/>
  <c r="R16" i="1"/>
  <c r="L7" i="1"/>
  <c r="AA80" i="1"/>
  <c r="AA30" i="1"/>
  <c r="AA79" i="1"/>
  <c r="AA73" i="1"/>
  <c r="AA28" i="1"/>
  <c r="K7" i="2"/>
  <c r="F9" i="2"/>
  <c r="R17" i="1"/>
  <c r="R11" i="1"/>
  <c r="M7" i="1"/>
  <c r="AA36" i="1"/>
  <c r="AA77" i="1"/>
  <c r="AA81" i="1"/>
  <c r="AA87" i="1"/>
  <c r="AA31" i="1"/>
  <c r="AA27" i="1"/>
  <c r="L7" i="2"/>
  <c r="G9" i="2"/>
  <c r="R18" i="1"/>
  <c r="X7" i="1"/>
  <c r="Q7" i="1"/>
  <c r="N7" i="1"/>
  <c r="AA35" i="1"/>
  <c r="AA40" i="1"/>
  <c r="AA76" i="1"/>
  <c r="AA29" i="1"/>
  <c r="AA83" i="1"/>
  <c r="AA41" i="1"/>
  <c r="R11" i="2"/>
  <c r="M7" i="2"/>
  <c r="E7" i="2"/>
  <c r="R19" i="1"/>
  <c r="Y7" i="1"/>
  <c r="P9" i="1"/>
  <c r="O7" i="1"/>
  <c r="AA38" i="1"/>
  <c r="AA34" i="1"/>
  <c r="AA23" i="1"/>
  <c r="AA33" i="1"/>
  <c r="R12" i="2"/>
  <c r="N7" i="2"/>
  <c r="E8" i="2"/>
  <c r="R12" i="1"/>
  <c r="R20" i="1"/>
  <c r="Z7" i="1"/>
  <c r="R9" i="1" s="1"/>
  <c r="H7" i="1"/>
  <c r="AA88" i="1"/>
  <c r="AA42" i="1"/>
  <c r="AA78" i="1"/>
  <c r="AA37" i="1"/>
  <c r="AA84" i="1"/>
  <c r="O7" i="2"/>
  <c r="R10" i="2"/>
  <c r="R7" i="2" s="1"/>
  <c r="R13" i="1"/>
  <c r="R21" i="1"/>
  <c r="U7" i="1"/>
  <c r="I7" i="1"/>
  <c r="AA72" i="1"/>
  <c r="AA26" i="1"/>
  <c r="AA39" i="1"/>
  <c r="K7" i="1"/>
  <c r="AA16" i="1"/>
  <c r="E10" i="1" l="1"/>
  <c r="G10" i="1"/>
  <c r="F10" i="1"/>
  <c r="B2" i="4"/>
  <c r="E8" i="1"/>
  <c r="R7" i="1"/>
  <c r="E9" i="1"/>
  <c r="F8" i="1"/>
  <c r="C7" i="4" l="1"/>
  <c r="C13" i="4"/>
  <c r="G8" i="1"/>
  <c r="E7" i="1" s="1"/>
  <c r="C6" i="4" l="1"/>
  <c r="C8" i="4"/>
  <c r="C14" i="4"/>
  <c r="C12" i="4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<sst xmlns="http://schemas.openxmlformats.org/spreadsheetml/2006/main" count="314" uniqueCount="152">
  <si>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</si>
  <si>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</si>
  <si>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</si>
  <si>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</si>
  <si>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</si>
  <si>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</si>
  <si>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</si>
  <si>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</si>
  <si>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</si>
  <si>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</si>
  <si>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</si>
  <si>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</si>
  <si>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</si>
  <si>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</si>
  <si>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</si>
  <si>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</si>
  <si>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</si>
  <si>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</si>
  <si>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</si>
  <si>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</si>
  <si>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</si>
  <si>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</si>
  <si>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</si>
  <si>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</si>
  <si>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</si>
  <si>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</si>
  <si>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</si>
  <si>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</si>
  <si>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</si>
  <si>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</si>
  <si>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</si>
  <si>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</si>
  <si>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</si>
  <si>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</si>
  <si>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</si>
  <si>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</si>
  <si>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</si>
  <si>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</si>
  <si>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</si>
  <si>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</si>
  <si>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</si>
  <si>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</si>
  <si>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</si>
  <si>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</si>
  <si>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</si>
  <si>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COST LOCATION:</t>
  </si>
  <si>
    <t>SU2iPE</t>
  </si>
  <si>
    <t>220-1</t>
  </si>
  <si>
    <t>220-2</t>
  </si>
  <si>
    <t>450-1</t>
  </si>
  <si>
    <t>Ai3PE</t>
  </si>
  <si>
    <t>550-1</t>
  </si>
  <si>
    <t>550-3</t>
  </si>
  <si>
    <t>650-1</t>
  </si>
  <si>
    <t>Ai3/MS1iPE</t>
  </si>
  <si>
    <t>650-2</t>
  </si>
  <si>
    <t>SU2i</t>
  </si>
  <si>
    <t>PNL FR DR MAIN TRIM LH/RH YGN</t>
  </si>
  <si>
    <t>2000-1</t>
  </si>
  <si>
    <t>1800-1</t>
  </si>
  <si>
    <t>2500-1</t>
  </si>
  <si>
    <t>SU2iFL</t>
  </si>
  <si>
    <t>Ai3</t>
  </si>
  <si>
    <t>550-2</t>
  </si>
  <si>
    <t>1050-1</t>
  </si>
  <si>
    <t>1050-2</t>
  </si>
  <si>
    <t>TRIM LUGGAGE SIDE-LH YGN</t>
  </si>
  <si>
    <t>TRIM-LUGG SIDE W/O SPKR,RH YGN</t>
  </si>
  <si>
    <t>LEVER ASSY FRT SEAT H/ADJ RH T9Y</t>
  </si>
  <si>
    <t>350-1</t>
  </si>
  <si>
    <t>SHIELD COVER FRT SEAT OTR LH STD; SHIELD COVER FRT SEAT OTR RH H/ADJ T9Y</t>
  </si>
  <si>
    <t>SHIELD COVER FRT SEAT OTR RH STD NNB</t>
  </si>
  <si>
    <t>HOUSING-GLOVE BOX RHD-MMH</t>
  </si>
  <si>
    <t>BRACKET - BASE A/T PSL RHD</t>
  </si>
  <si>
    <t>LEVER ASSY-FR SEAT HGT_ADJM, RH NNB</t>
  </si>
  <si>
    <t>SU2IPE</t>
  </si>
  <si>
    <t>SHIELD COVER FR SEAT INR LH PWR YGN</t>
  </si>
  <si>
    <t>DR ASSY-PASSENGER AIRBAG LHD</t>
  </si>
  <si>
    <t>COVER-GLOVE BOX RHD MMH</t>
  </si>
  <si>
    <t>HOUSING-GLOVE BOX LHD-NNB</t>
  </si>
  <si>
    <t>HOUSING-GLOVE BOX RHD-NNB</t>
  </si>
  <si>
    <t>PNL-CRASH PAD CTR LWR RHD T9Y</t>
  </si>
  <si>
    <t>FOOT LAMP BRACKET/SUPPORT</t>
  </si>
  <si>
    <t>PNL ASSY-CRASH PAD LWR D/SIDE NNB RHD LHNN</t>
  </si>
  <si>
    <t>PNL ASSY-CRASH PAD LWR D/SIDE TTX RHD LHTX</t>
  </si>
  <si>
    <t>AI3SUVPE</t>
  </si>
  <si>
    <t>SHIELD COVER FRT SEAT OTR LH STD; SHIELD COVER FR SEAT OTR RH OPT H/ADJ NNB</t>
  </si>
  <si>
    <t>SHIELD COVER FRT SEAT OTR RH STD TTX</t>
  </si>
  <si>
    <t>S/COVER FRT SEAT OTR LH MNL; S/COVER FRT CUSH OTR RH MNL H/ADJ RHD NNB</t>
  </si>
  <si>
    <t>SU2i/Bi3/BN7i</t>
  </si>
  <si>
    <t>850-1</t>
  </si>
  <si>
    <t xml:space="preserve">TRIM-LUGG SIDE,RH (SPEAKER) YGN </t>
  </si>
  <si>
    <t>2300-1</t>
  </si>
  <si>
    <t>PNL CRASH PAD LWR D/SIDE NNB LHD</t>
  </si>
  <si>
    <t>BN7i</t>
  </si>
  <si>
    <t>SHIELD COVER FRT SEAT OTR LH STD; SHIELD COVER FR SEAT OTR RH OPT H/ADJ NBY</t>
  </si>
  <si>
    <t>MS1IPE</t>
  </si>
  <si>
    <t>BN7I</t>
  </si>
  <si>
    <t>SHROUD STRG/COL LWR + KEY NNB</t>
  </si>
  <si>
    <t>KNOB ASSY FRT SEAT H ADJ RH MNL NNB</t>
  </si>
  <si>
    <t>SU2I</t>
  </si>
  <si>
    <t>PNL-CRASH PAD CTR LWR RHD NBY</t>
  </si>
  <si>
    <t>DR ASSY-PASSENGER AIRBAG RHD</t>
  </si>
  <si>
    <t>COVER-GLOVE BOX RHD YPK</t>
  </si>
  <si>
    <t>COVER-GLOVE BOXNNB LHD NNB</t>
  </si>
  <si>
    <t>SHIELD COVER -FR SEAT OTR,RH YGN</t>
  </si>
  <si>
    <t>SU2IPE/EV</t>
  </si>
  <si>
    <t>850-2</t>
  </si>
  <si>
    <t>HOUSING GLOVE BOX LHD NNB</t>
  </si>
  <si>
    <t>850-3</t>
  </si>
  <si>
    <t>MOLDING BACK PANEL</t>
  </si>
  <si>
    <t>PS7iPE</t>
  </si>
  <si>
    <t>HOUSING-GLOVE BOX RHD-TTX</t>
  </si>
  <si>
    <t>TRIM LUGG TRAY COVER  LH/RH YGN</t>
  </si>
  <si>
    <t>PNL-ASSY C/PAD LWR DRIVER SIDE LHD -SSB LKMM</t>
  </si>
  <si>
    <t>SHIELD COVER FRT SEAT OTR LH STD NNB</t>
  </si>
  <si>
    <t>DUCT-DEFROSTER REARLHD</t>
  </si>
  <si>
    <t>TRIM-LUGG SIDE,RH (SPEAKER) YGN</t>
  </si>
  <si>
    <t>C:\SMB\Morning meeting report template\COST.xlsx</t>
  </si>
  <si>
    <t>MAY STARTUP REJECTION COST -</t>
  </si>
  <si>
    <t>MAY PROCESS REJECTION COST -</t>
  </si>
  <si>
    <t>27.05.2026</t>
  </si>
  <si>
    <t>4</t>
  </si>
  <si>
    <t>12</t>
  </si>
  <si>
    <t>4+4</t>
  </si>
  <si>
    <t>2+2</t>
  </si>
  <si>
    <t>COVER-COOL BOX RHD</t>
  </si>
  <si>
    <t>1</t>
  </si>
  <si>
    <t>PNL ASSY-CRASH PAD LWR D/SIDE MMH RHD LLMM</t>
  </si>
  <si>
    <t>3</t>
  </si>
  <si>
    <t>PNL ASSY-CRASH PAD LWR D/SIDE LHD NNB</t>
  </si>
  <si>
    <t>6</t>
  </si>
  <si>
    <t>2</t>
  </si>
  <si>
    <t>DUCT-DEFROSTER FRONT LHD</t>
  </si>
  <si>
    <t>S/COVER FRT SEAT OTR LH MNL H/ADJ LHD; S/COVER FRT CUSH OTR RH MNL NNB</t>
  </si>
  <si>
    <t>SU2i/Bi3</t>
  </si>
  <si>
    <t>1/1</t>
  </si>
  <si>
    <t>COLOR CHANGE TIME HAPPEN</t>
  </si>
  <si>
    <t>S/COVER FRT SEAT OTR LH MNL H/ADJ LHD; S/COVER FRT CUSH OTR RH MNL YGN</t>
  </si>
  <si>
    <t>3/3</t>
  </si>
  <si>
    <t>AI3</t>
  </si>
  <si>
    <t>HOUSING-GLOVE BOX RHD-YPK</t>
  </si>
  <si>
    <t>GSPE MOULDING ASSY-SIDE SILL,LH/RH</t>
  </si>
  <si>
    <t>GSPE</t>
  </si>
  <si>
    <t>8</t>
  </si>
  <si>
    <t>4/4</t>
  </si>
  <si>
    <t>2/2</t>
  </si>
  <si>
    <t>LAST PART</t>
  </si>
  <si>
    <t>STARTUP TIME HAPPEN</t>
  </si>
  <si>
    <t>License Active</t>
  </si>
  <si>
    <t>License Valid Until: 2026-05-29</t>
  </si>
  <si>
    <t>License is active — 0 days remaining. Please contact your administrator for extension when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</si>
</sst>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sz val="11"/>
      <color rgb="FFFF0000"/>
      <name val="Aptos Narrow"/>
      <family val="2"/>
      <scheme val="minor"/>
    </font>
    <font>
      <b/>
      <sz val="12"/>
      <color rgb="FF0000FF"/>
      <name val="Aptos Narrow"/>
      <family val="2"/>
    </font>
    <font>
      <b/>
      <sz val="12"/>
      <color rgb="FF339966"/>
      <name val="Aptos Narrow"/>
      <family val="2"/>
    </font>
    <font>
      <b/>
      <sz val="14"/>
      <color rgb="FFFF0000"/>
      <name val="Aptos Narrow"/>
      <family val="2"/>
    </font>
    <font>
      <b/>
      <sz val="14"/>
      <color rgb="FF008000"/>
      <name val="Aptos Narrow"/>
      <family val="2"/>
    </font>
    <font>
      <b/>
      <sz val="14"/>
      <color rgb="FF339966"/>
      <name val="Aptos Narrow"/>
      <family val="2"/>
    </font>
    <font>
      <b/>
      <sz val="14"/>
      <color rgb="FF0000FF"/>
      <name val="Aptos Narrow"/>
      <family val="2"/>
    </font>
    <font>
      <b/>
      <sz val="14"/>
      <color rgb="FFFF0000"/>
      <name val="Malgun Gothic"/>
      <family val="2"/>
    </font>
    <font>
      <b/>
      <sz val="11"/>
      <color rgb="FF00467F"/>
      <name val="Aptos Narrow"/>
      <family val="2"/>
      <scheme val="minor"/>
    </font>
    <font>
      <b/>
      <sz val="11"/>
      <color rgb="FF643200"/>
      <name val="Aptos Narrow"/>
      <family val="2"/>
      <scheme val="minor"/>
    </font>
    <font>
      <b/>
      <sz val="14"/>
      <color rgb="FF0078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5DC"/>
        <bgColor indexed="64"/>
      </patternFill>
    </fill>
    <fill>
      <patternFill patternType="solid">
        <fgColor rgb="FFDCFFDC"/>
        <bgColor indexed="64"/>
      </patternFill>
    </fill>
  </fills>
  <borders count="3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6" fillId="0" borderId="0"/>
  </cellStyleXfs>
  <cellXfs count="138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 wrapText="1" readingOrder="1"/>
      <protection locked="0"/>
    </xf>
    <xf numFmtId="0" fontId="1" fillId="0" borderId="3" xfId="0" applyFont="1" applyBorder="1" applyAlignment="1" applyProtection="1">
      <alignment horizontal="center" vertical="center" wrapText="1" readingOrder="1"/>
      <protection locked="0"/>
    </xf>
    <xf numFmtId="0" fontId="2" fillId="0" borderId="1" xfId="0" applyFont="1" applyBorder="1" applyAlignment="1" applyProtection="1">
      <alignment horizontal="center" vertical="center" wrapText="1" readingOrder="1"/>
      <protection locked="0"/>
    </xf>
    <xf numFmtId="0" fontId="1" fillId="0" borderId="38" xfId="0" applyFont="1" applyBorder="1" applyAlignment="1" applyProtection="1">
      <alignment horizontal="center" vertical="center" wrapText="1" readingOrder="1"/>
      <protection locked="0"/>
    </xf>
    <xf numFmtId="0" fontId="1" fillId="0" borderId="13" xfId="0" applyFont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 readingOrder="1"/>
      <protection locked="0"/>
    </xf>
    <xf numFmtId="0" fontId="2" fillId="2" borderId="7" xfId="0" applyFont="1" applyFill="1" applyBorder="1" applyAlignment="1" applyProtection="1">
      <alignment horizontal="center" vertical="center" wrapText="1" readingOrder="1"/>
      <protection locked="0"/>
    </xf>
    <xf numFmtId="0" fontId="2" fillId="2" borderId="8" xfId="0" applyFont="1" applyFill="1" applyBorder="1" applyAlignment="1" applyProtection="1">
      <alignment horizontal="center" vertical="center" wrapText="1" readingOrder="1"/>
      <protection locked="0"/>
    </xf>
    <xf numFmtId="0" fontId="2" fillId="2" borderId="9" xfId="0" applyFont="1" applyFill="1" applyBorder="1" applyAlignment="1" applyProtection="1">
      <alignment horizontal="center" vertical="center" wrapText="1" readingOrder="1"/>
      <protection locked="0"/>
    </xf>
    <xf numFmtId="0" fontId="2" fillId="2" borderId="13" xfId="0" applyFont="1" applyFill="1" applyBorder="1" applyAlignment="1" applyProtection="1">
      <alignment horizontal="center" vertical="center" wrapText="1" readingOrder="1"/>
      <protection locked="0"/>
    </xf>
    <xf numFmtId="0" fontId="2" fillId="2" borderId="0" xfId="0" applyFont="1" applyFill="1" applyAlignment="1" applyProtection="1">
      <alignment horizontal="center" vertical="center" wrapText="1" readingOrder="1"/>
      <protection locked="0"/>
    </xf>
    <xf numFmtId="0" fontId="2" fillId="2" borderId="14" xfId="0" applyFont="1" applyFill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 readingOrder="1"/>
      <protection locked="0"/>
    </xf>
    <xf numFmtId="0" fontId="2" fillId="2" borderId="3" xfId="0" applyFont="1" applyFill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 readingOrder="1"/>
      <protection locked="0"/>
    </xf>
    <xf numFmtId="0" fontId="2" fillId="2" borderId="11" xfId="0" applyFont="1" applyFill="1" applyBorder="1" applyAlignment="1" applyProtection="1">
      <alignment horizontal="center" vertical="center" wrapText="1" readingOrder="1"/>
      <protection locked="0"/>
    </xf>
    <xf numFmtId="0" fontId="2" fillId="2" borderId="12" xfId="0" applyFont="1" applyFill="1" applyBorder="1" applyAlignment="1" applyProtection="1">
      <alignment horizontal="center" vertical="center" wrapText="1" readingOrder="1"/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/>
      <protection locked="0"/>
    </xf>
    <xf numFmtId="0" fontId="2" fillId="2" borderId="4" xfId="0" applyFont="1" applyFill="1" applyBorder="1" applyAlignment="1" applyProtection="1">
      <alignment horizontal="center" vertical="center" wrapText="1" readingOrder="1"/>
      <protection locked="0"/>
    </xf>
    <xf numFmtId="0" fontId="2" fillId="2" borderId="5" xfId="0" applyFont="1" applyFill="1" applyBorder="1" applyAlignment="1" applyProtection="1">
      <alignment horizontal="center" vertical="center" wrapText="1" readingOrder="1"/>
      <protection locked="0"/>
    </xf>
    <xf numFmtId="0" fontId="2" fillId="2" borderId="6" xfId="0" applyFont="1" applyFill="1" applyBorder="1" applyAlignment="1" applyProtection="1">
      <alignment horizontal="center" vertical="center" wrapText="1" readingOrder="1"/>
      <protection locked="0"/>
    </xf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2" fillId="2" borderId="4" xfId="0" applyFont="1" applyFill="1" applyBorder="1" applyAlignment="1" applyProtection="1">
      <alignment horizontal="center" vertical="center" wrapText="1" readingOrder="1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 applyProtection="1">
      <alignment horizontal="center" vertical="center" wrapText="1" readingOrder="1"/>
      <protection locked="0"/>
    </xf>
    <xf numFmtId="0" fontId="1" fillId="3" borderId="11" xfId="0" applyFont="1" applyFill="1" applyBorder="1" applyAlignment="1" applyProtection="1">
      <alignment horizontal="center" vertical="center" wrapText="1" readingOrder="1"/>
      <protection locked="0"/>
    </xf>
    <xf numFmtId="0" fontId="1" fillId="3" borderId="12" xfId="0" applyFont="1" applyFill="1" applyBorder="1" applyAlignment="1" applyProtection="1">
      <alignment horizontal="center" vertical="center" wrapText="1" readingOrder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 readingOrder="1"/>
      <protection locked="0"/>
    </xf>
    <xf numFmtId="0" fontId="5" fillId="0" borderId="2" xfId="0" applyFont="1" applyBorder="1" applyAlignment="1" applyProtection="1">
      <alignment horizontal="center" vertical="center" wrapText="1" readingOrder="1"/>
      <protection locked="0"/>
    </xf>
    <xf numFmtId="0" fontId="11" fillId="0" borderId="2" xfId="0" applyFont="1" applyBorder="1" applyAlignment="1" applyProtection="1">
      <alignment horizontal="center" vertical="center" wrapText="1" readingOrder="1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 readingOrder="1"/>
      <protection locked="0"/>
    </xf>
    <xf numFmtId="0" fontId="5" fillId="0" borderId="3" xfId="0" applyFont="1" applyBorder="1" applyAlignment="1" applyProtection="1">
      <alignment horizontal="center" vertical="center" wrapText="1" readingOrder="1"/>
      <protection locked="0"/>
    </xf>
    <xf numFmtId="0" fontId="1" fillId="3" borderId="4" xfId="0" quotePrefix="1" applyFont="1" applyFill="1" applyBorder="1" applyAlignment="1" applyProtection="1">
      <alignment horizontal="center" vertical="center" wrapText="1" readingOrder="1"/>
      <protection locked="0"/>
    </xf>
    <xf numFmtId="0" fontId="1" fillId="3" borderId="5" xfId="0" applyFont="1" applyFill="1" applyBorder="1" applyAlignment="1" applyProtection="1">
      <alignment horizontal="center" vertical="center" wrapText="1" readingOrder="1"/>
      <protection locked="0"/>
    </xf>
    <xf numFmtId="0" fontId="1" fillId="3" borderId="6" xfId="0" applyFont="1" applyFill="1" applyBorder="1" applyAlignment="1" applyProtection="1">
      <alignment horizontal="center" vertical="center" wrapText="1" readingOrder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 readingOrder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 readingOrder="1"/>
      <protection locked="0"/>
    </xf>
    <xf numFmtId="49" fontId="3" fillId="0" borderId="1" xfId="0" applyNumberFormat="1" applyFont="1" applyBorder="1" applyAlignment="1" applyProtection="1">
      <alignment horizontal="center" vertical="center" wrapText="1" readingOrder="1"/>
      <protection locked="0"/>
    </xf>
    <xf numFmtId="49" fontId="5" fillId="0" borderId="1" xfId="0" applyNumberFormat="1" applyFont="1" applyBorder="1" applyAlignment="1" applyProtection="1">
      <alignment horizontal="center" vertical="center" wrapText="1" readingOrder="1"/>
      <protection locked="0"/>
    </xf>
    <xf numFmtId="49" fontId="1" fillId="0" borderId="1" xfId="0" applyNumberFormat="1" applyFont="1" applyBorder="1" applyAlignment="1" applyProtection="1">
      <alignment horizontal="center" vertical="center" wrapText="1" readingOrder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 readingOrder="1"/>
      <protection locked="0"/>
    </xf>
    <xf numFmtId="0" fontId="8" fillId="4" borderId="8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wrapText="1" readingOrder="1"/>
      <protection locked="0"/>
    </xf>
    <xf numFmtId="49" fontId="0" fillId="0" borderId="0" xfId="0" applyNumberFormat="1" applyAlignment="1" applyProtection="1">
      <alignment horizontal="center" vertical="center" wrapText="1" readingOrder="1"/>
      <protection locked="0"/>
    </xf>
    <xf numFmtId="49" fontId="0" fillId="0" borderId="0" xfId="0" applyNumberFormat="1" applyAlignment="1" applyProtection="1">
      <alignment wrapText="1" readingOrder="1"/>
      <protection locked="0"/>
    </xf>
    <xf numFmtId="0" fontId="20" fillId="0" borderId="0" xfId="0" applyFont="1" applyAlignment="1" applyProtection="1">
      <alignment wrapText="1" readingOrder="1"/>
      <protection locked="0"/>
    </xf>
    <xf numFmtId="0" fontId="3" fillId="0" borderId="0" xfId="0" applyFont="1" applyAlignment="1" applyProtection="1">
      <alignment horizontal="center" vertical="center" wrapText="1" readingOrder="1"/>
      <protection locked="0"/>
    </xf>
    <xf numFmtId="0" fontId="3" fillId="0" borderId="0" xfId="0" applyFont="1" applyAlignment="1" applyProtection="1">
      <alignment wrapText="1" readingOrder="1"/>
      <protection locked="0"/>
    </xf>
    <xf numFmtId="49" fontId="3" fillId="0" borderId="0" xfId="0" applyNumberFormat="1" applyFont="1" applyAlignment="1" applyProtection="1">
      <alignment horizontal="center" vertical="center" wrapText="1" readingOrder="1"/>
      <protection locked="0"/>
    </xf>
    <xf numFmtId="49" fontId="3" fillId="0" borderId="0" xfId="0" applyNumberFormat="1" applyFont="1" applyAlignment="1" applyProtection="1">
      <alignment wrapText="1" readingOrder="1"/>
      <protection locked="0"/>
    </xf>
    <xf numFmtId="0" fontId="5" fillId="0" borderId="0" xfId="0" applyFont="1" applyAlignment="1" applyProtection="1">
      <alignment wrapText="1" readingOrder="1"/>
      <protection locked="0"/>
    </xf>
    <xf numFmtId="0" fontId="13" fillId="0" borderId="0" xfId="0" applyFont="1" applyAlignment="1" applyProtection="1">
      <alignment wrapText="1"/>
      <protection locked="0"/>
    </xf>
    <xf numFmtId="0" fontId="12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wrapText="1"/>
      <protection locked="0"/>
    </xf>
    <xf numFmtId="0" fontId="2" fillId="2" borderId="15" xfId="0" applyFont="1" applyFill="1" applyBorder="1" applyAlignment="1" applyProtection="1">
      <alignment horizontal="center" vertical="center" wrapText="1"/>
      <protection locked="0"/>
    </xf>
    <xf numFmtId="0" fontId="2" fillId="2" borderId="17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 wrapText="1"/>
      <protection locked="0"/>
    </xf>
    <xf numFmtId="0" fontId="2" fillId="2" borderId="19" xfId="0" applyFont="1" applyFill="1" applyBorder="1" applyAlignment="1" applyProtection="1">
      <alignment horizontal="center" vertical="center" wrapText="1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16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0" fontId="14" fillId="2" borderId="35" xfId="0" applyFont="1" applyFill="1" applyBorder="1" applyAlignment="1" applyProtection="1">
      <alignment horizontal="center" vertical="center" wrapText="1"/>
      <protection locked="0"/>
    </xf>
    <xf numFmtId="0" fontId="1" fillId="3" borderId="17" xfId="0" applyFont="1" applyFill="1" applyBorder="1" applyAlignment="1" applyProtection="1">
      <alignment horizontal="center" vertical="center" wrapText="1"/>
      <protection locked="0"/>
    </xf>
    <xf numFmtId="0" fontId="1" fillId="3" borderId="18" xfId="0" applyFont="1" applyFill="1" applyBorder="1" applyAlignment="1" applyProtection="1">
      <alignment horizontal="center" vertical="center" wrapText="1"/>
      <protection locked="0"/>
    </xf>
    <xf numFmtId="0" fontId="1" fillId="3" borderId="19" xfId="0" applyFont="1" applyFill="1" applyBorder="1" applyAlignment="1" applyProtection="1">
      <alignment horizontal="center" vertical="center" wrapText="1"/>
      <protection locked="0"/>
    </xf>
    <xf numFmtId="0" fontId="1" fillId="0" borderId="23" xfId="0" applyFont="1" applyBorder="1" applyAlignment="1" applyProtection="1">
      <alignment horizontal="center" vertical="center" wrapText="1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15" xfId="0" applyFont="1" applyBorder="1" applyAlignment="1" applyProtection="1">
      <alignment horizontal="center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0" fontId="2" fillId="2" borderId="22" xfId="0" applyFont="1" applyFill="1" applyBorder="1" applyAlignment="1" applyProtection="1">
      <alignment horizontal="center" vertical="center" wrapText="1"/>
      <protection locked="0"/>
    </xf>
    <xf numFmtId="0" fontId="2" fillId="2" borderId="23" xfId="0" applyFont="1" applyFill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 applyProtection="1">
      <alignment horizontal="center" vertical="center" wrapText="1"/>
      <protection locked="0"/>
    </xf>
    <xf numFmtId="0" fontId="1" fillId="3" borderId="11" xfId="0" applyFont="1" applyFill="1" applyBorder="1" applyAlignment="1" applyProtection="1">
      <alignment horizontal="center" vertical="center" wrapText="1"/>
      <protection locked="0"/>
    </xf>
    <xf numFmtId="0" fontId="1" fillId="3" borderId="12" xfId="0" applyFont="1" applyFill="1" applyBorder="1" applyAlignment="1" applyProtection="1">
      <alignment horizontal="center" vertical="center" wrapText="1"/>
      <protection locked="0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20" xfId="0" applyFont="1" applyBorder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20" xfId="0" applyFont="1" applyBorder="1" applyAlignment="1" applyProtection="1">
      <alignment horizontal="center" vertical="center" wrapText="1"/>
      <protection locked="0"/>
    </xf>
    <xf numFmtId="0" fontId="2" fillId="2" borderId="3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3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36" xfId="0" applyFont="1" applyBorder="1" applyAlignment="1" applyProtection="1">
      <alignment horizontal="center" vertical="center" wrapText="1"/>
      <protection locked="0"/>
    </xf>
    <xf numFmtId="0" fontId="1" fillId="0" borderId="37" xfId="0" applyFont="1" applyBorder="1" applyAlignment="1" applyProtection="1">
      <alignment horizontal="center" vertical="center" wrapText="1"/>
      <protection locked="0"/>
    </xf>
    <xf numFmtId="0" fontId="5" fillId="0" borderId="36" xfId="0" applyFont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alignment horizontal="center" vertical="center" wrapText="1"/>
      <protection locked="0"/>
    </xf>
    <xf numFmtId="0" fontId="5" fillId="0" borderId="37" xfId="0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8" fillId="4" borderId="8" xfId="0" applyFont="1" applyFill="1" applyBorder="1" applyAlignment="1" applyProtection="1">
      <alignment horizontal="center" vertical="center" wrapText="1"/>
      <protection locked="0"/>
    </xf>
    <xf numFmtId="49" fontId="8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0" xfId="0" applyFont="1" applyFill="1" applyAlignment="1" applyProtection="1">
      <alignment horizontal="center" vertical="center" wrapText="1"/>
      <protection locked="0"/>
    </xf>
    <xf numFmtId="0" fontId="27" fillId="4" borderId="0" xfId="0" applyFont="1" applyFill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49" fontId="13" fillId="0" borderId="0" xfId="0" applyNumberFormat="1" applyFont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14" fontId="15" fillId="6" borderId="32" xfId="0" applyNumberFormat="1" applyFont="1" applyFill="1" applyBorder="1" applyAlignment="1" applyProtection="1">
      <alignment horizontal="center" vertical="center" wrapText="1" readingOrder="1"/>
      <protection locked="0"/>
    </xf>
    <xf numFmtId="0" fontId="15" fillId="6" borderId="32" xfId="0" applyFont="1" applyFill="1" applyBorder="1" applyAlignment="1" applyProtection="1">
      <alignment horizontal="center" vertical="center" wrapText="1" readingOrder="1"/>
      <protection locked="0"/>
    </xf>
    <xf numFmtId="0" fontId="16" fillId="7" borderId="32" xfId="0" applyFont="1" applyFill="1" applyBorder="1" applyAlignment="1" applyProtection="1">
      <alignment horizontal="center" vertical="center" wrapText="1" readingOrder="1"/>
      <protection locked="0"/>
    </xf>
    <xf numFmtId="0" fontId="17" fillId="0" borderId="32" xfId="0" applyFont="1" applyBorder="1" applyAlignment="1" applyProtection="1">
      <alignment horizontal="center" vertical="center" wrapText="1" readingOrder="1"/>
      <protection locked="0"/>
    </xf>
    <xf numFmtId="0" fontId="16" fillId="0" borderId="32" xfId="0" applyFont="1" applyBorder="1" applyAlignment="1" applyProtection="1">
      <alignment horizontal="center" vertical="center" wrapText="1" readingOrder="1"/>
      <protection locked="0"/>
    </xf>
    <xf numFmtId="0" fontId="17" fillId="0" borderId="33" xfId="0" applyFont="1" applyBorder="1" applyAlignment="1" applyProtection="1">
      <alignment horizontal="center" vertical="center" wrapText="1" readingOrder="1"/>
      <protection locked="0"/>
    </xf>
    <xf numFmtId="0" fontId="17" fillId="0" borderId="34" xfId="0" applyFont="1" applyBorder="1" applyAlignment="1" applyProtection="1">
      <alignment horizontal="center" vertical="center" wrapText="1" readingOrder="1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5" borderId="0" xfId="0" applyFill="1" applyProtection="1">
      <protection locked="0"/>
    </xf>
    <xf numFmtId="0" fontId="10" fillId="4" borderId="24" xfId="0" applyFont="1" applyFill="1" applyBorder="1" applyAlignment="1" applyProtection="1">
      <alignment horizontal="center" vertical="center"/>
      <protection locked="0"/>
    </xf>
    <xf numFmtId="0" fontId="10" fillId="4" borderId="25" xfId="0" applyFont="1" applyFill="1" applyBorder="1" applyAlignment="1" applyProtection="1">
      <alignment horizontal="center" vertical="center"/>
      <protection locked="0"/>
    </xf>
    <xf numFmtId="0" fontId="7" fillId="5" borderId="26" xfId="0" applyFont="1" applyFill="1" applyBorder="1" applyAlignment="1" applyProtection="1">
      <alignment horizontal="right" vertical="center"/>
      <protection locked="0"/>
    </xf>
    <xf numFmtId="0" fontId="0" fillId="5" borderId="27" xfId="0" applyFill="1" applyBorder="1" applyAlignment="1" applyProtection="1">
      <alignment horizontal="left" vertical="center"/>
      <protection locked="0"/>
    </xf>
    <xf numFmtId="0" fontId="7" fillId="5" borderId="0" xfId="0" applyFont="1" applyFill="1" applyAlignment="1" applyProtection="1">
      <alignment vertical="center"/>
      <protection locked="0"/>
    </xf>
    <xf numFmtId="0" fontId="0" fillId="5" borderId="28" xfId="0" applyFill="1" applyBorder="1" applyAlignment="1" applyProtection="1">
      <alignment horizontal="right"/>
      <protection locked="0"/>
    </xf>
    <xf numFmtId="0" fontId="0" fillId="5" borderId="29" xfId="0" applyFill="1" applyBorder="1" applyProtection="1">
      <protection locked="0"/>
    </xf>
    <xf numFmtId="0" fontId="30" fillId="10" borderId="0" xfId="0" applyFont="1" applyFill="1" applyAlignment="1" applyProtection="1">
      <alignment horizontal="center" vertical="center" wrapText="1"/>
      <protection locked="0"/>
    </xf>
    <xf numFmtId="0" fontId="0" fillId="5" borderId="0" xfId="0" applyFill="1" applyAlignment="1" applyProtection="1">
      <alignment horizontal="center" vertical="center" wrapText="1"/>
      <protection locked="0"/>
    </xf>
    <xf numFmtId="0" fontId="28" fillId="8" borderId="0" xfId="0" applyFont="1" applyFill="1" applyAlignment="1" applyProtection="1">
      <alignment horizontal="center" vertical="center" wrapText="1"/>
      <protection locked="0"/>
    </xf>
    <xf numFmtId="0" fontId="29" fillId="9" borderId="0" xfId="0" applyFont="1" applyFill="1" applyAlignment="1" applyProtection="1">
      <alignment horizontal="center" vertical="center" wrapText="1"/>
      <protection locked="0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1990294" cy="616041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 </a:t>
          </a:r>
          <a:r>
            <a:rPr kumimoji="1" lang="en-IN" sz="1000" b="1" kern="1200">
              <a:solidFill>
                <a:schemeClr val="tx1"/>
              </a:solidFill>
              <a:effectLst/>
              <a:latin typeface="Arial" panose="020B0604020202020204" pitchFamily="34" charset="0"/>
              <a:ea typeface="Gulim" pitchFamily="34" charset="-127"/>
              <a:cs typeface="+mn-cs"/>
            </a:rPr>
            <a:t>Colour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Change Start up		4)Maintenance Work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 Power Shortage	8) Material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Conveyance issue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9)Power Cut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37962</xdr:colOff>
          <xdr:row>0</xdr:row>
          <xdr:rowOff>45211</xdr:rowOff>
        </xdr:from>
        <xdr:to>
          <xdr:col>29</xdr:col>
          <xdr:colOff>476245</xdr:colOff>
          <xdr:row>3</xdr:row>
          <xdr:rowOff>216906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12001362" y="45211"/>
              <a:ext cx="2981458" cy="600320"/>
              <a:chOff x="12198033" y="64261"/>
              <a:chExt cx="2994334" cy="600320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12198033" y="64261"/>
                <a:ext cx="2015196" cy="600320"/>
                <a:chOff x="14662041" y="76853"/>
                <a:chExt cx="2006387" cy="704919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100-000003000000}"/>
                    </a:ext>
                  </a:extLst>
                </xdr:cNvPr>
                <xdr:cNvGrpSpPr/>
              </xdr:nvGrpSpPr>
              <xdr:grpSpPr>
                <a:xfrm>
                  <a:off x="14662041" y="81310"/>
                  <a:ext cx="943283" cy="700462"/>
                  <a:chOff x="16781480" y="16243"/>
                  <a:chExt cx="521600" cy="625227"/>
                </a:xfrm>
                <a:solidFill>
                  <a:schemeClr val="accent2"/>
                </a:solidFill>
                <a:effectLst>
                  <a:outerShdw blurRad="50800" dist="38100" dir="2700000" algn="tl" rotWithShape="0">
                    <a:schemeClr val="accent3">
                      <a:alpha val="40000"/>
                    </a:schemeClr>
                  </a:outerShdw>
                </a:effectLst>
              </xdr:grpSpPr>
              <xdr:sp macro="" textlink="">
                <xdr:nvSpPr>
                  <xdr:cNvPr id="1025" name="Butto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SpPr/>
                </xdr:nvSpPr>
                <xdr:spPr bwMode="auto">
                  <a:xfrm>
                    <a:off x="16781480" y="16243"/>
                    <a:ext cx="521600" cy="272306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1026" name="Button 2" hidden="1">
                    <a:extLst>
                      <a:ext uri="{63B3BB69-23CF-44E3-9099-C40C66FF867C}">
                        <a14:compatExt spid="_x0000_s1026"/>
                      </a:ext>
                      <a:ext uri="{FF2B5EF4-FFF2-40B4-BE49-F238E27FC236}">
                        <a16:creationId xmlns:a16="http://schemas.microsoft.com/office/drawing/2014/main" id="{00000000-0008-0000-0100-000002040000}"/>
                      </a:ext>
                    </a:extLst>
                  </xdr:cNvPr>
                  <xdr:cNvSpPr/>
                </xdr:nvSpPr>
                <xdr:spPr bwMode="auto">
                  <a:xfrm>
                    <a:off x="16786306" y="347317"/>
                    <a:ext cx="516248" cy="294153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15685097" y="76853"/>
                  <a:ext cx="983331" cy="30475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15676650" y="445216"/>
                  <a:ext cx="977882" cy="31501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339966"/>
                      </a:solidFill>
                      <a:latin typeface="Aptos Narrow"/>
                    </a:rPr>
                    <a:t>ADD -</a:t>
                  </a:r>
                </a:p>
              </xdr:txBody>
            </xdr:sp>
          </xdr:grp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4258917" y="76200"/>
                <a:ext cx="933450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45383</xdr:rowOff>
    </xdr:from>
    <xdr:to>
      <xdr:col>19</xdr:col>
      <xdr:colOff>0</xdr:colOff>
      <xdr:row>2</xdr:row>
      <xdr:rowOff>200171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45383"/>
          <a:ext cx="1096271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FLASH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CONTAMINATION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FLOW MARK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SINK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PIN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27438</xdr:colOff>
          <xdr:row>0</xdr:row>
          <xdr:rowOff>51969</xdr:rowOff>
        </xdr:from>
        <xdr:to>
          <xdr:col>23</xdr:col>
          <xdr:colOff>531718</xdr:colOff>
          <xdr:row>2</xdr:row>
          <xdr:rowOff>171450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1200263" y="51969"/>
              <a:ext cx="2904580" cy="500481"/>
              <a:chOff x="12024859" y="107998"/>
              <a:chExt cx="3282307" cy="500481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2024859" y="107998"/>
                <a:ext cx="2191281" cy="500481"/>
                <a:chOff x="11898077" y="108037"/>
                <a:chExt cx="1816591" cy="569412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200-000003000000}"/>
                    </a:ext>
                  </a:extLst>
                </xdr:cNvPr>
                <xdr:cNvGrpSpPr/>
              </xdr:nvGrpSpPr>
              <xdr:grpSpPr>
                <a:xfrm>
                  <a:off x="11898077" y="108037"/>
                  <a:ext cx="868235" cy="569412"/>
                  <a:chOff x="14320366" y="209205"/>
                  <a:chExt cx="860355" cy="917621"/>
                </a:xfrm>
              </xdr:grpSpPr>
              <xdr:sp macro="" textlink="">
                <xdr:nvSpPr>
                  <xdr:cNvPr id="2051" name="Button 3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200-000003080000}"/>
                      </a:ext>
                    </a:extLst>
                  </xdr:cNvPr>
                  <xdr:cNvSpPr/>
                </xdr:nvSpPr>
                <xdr:spPr bwMode="auto">
                  <a:xfrm>
                    <a:off x="14320366" y="209205"/>
                    <a:ext cx="860353" cy="376239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2052" name="Button 4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200-000004080000}"/>
                      </a:ext>
                    </a:extLst>
                  </xdr:cNvPr>
                  <xdr:cNvSpPr/>
                </xdr:nvSpPr>
                <xdr:spPr bwMode="auto">
                  <a:xfrm>
                    <a:off x="14320374" y="733358"/>
                    <a:ext cx="860347" cy="393468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200-000005080000}"/>
                    </a:ext>
                  </a:extLst>
                </xdr:cNvPr>
                <xdr:cNvSpPr/>
              </xdr:nvSpPr>
              <xdr:spPr bwMode="auto">
                <a:xfrm>
                  <a:off x="12870385" y="417234"/>
                  <a:ext cx="844283" cy="2366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ADD -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200-000006080000}"/>
                    </a:ext>
                  </a:extLst>
                </xdr:cNvPr>
                <xdr:cNvSpPr/>
              </xdr:nvSpPr>
              <xdr:spPr bwMode="auto">
                <a:xfrm>
                  <a:off x="12856895" y="108824"/>
                  <a:ext cx="846526" cy="2286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</xdr:grp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200-000007080000}"/>
                  </a:ext>
                </a:extLst>
              </xdr:cNvPr>
              <xdr:cNvSpPr/>
            </xdr:nvSpPr>
            <xdr:spPr bwMode="auto">
              <a:xfrm>
                <a:off x="14328887" y="141753"/>
                <a:ext cx="978279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3924300</xdr:colOff>
          <xdr:row>7</xdr:row>
          <xdr:rowOff>38100</xdr:rowOff>
        </xdr:from>
        <xdr:to>
          <xdr:col>2</xdr:col>
          <xdr:colOff>4953000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200025</xdr:colOff>
      <xdr:row>1</xdr:row>
      <xdr:rowOff>171450</xdr:rowOff>
    </xdr:from>
    <xdr:to>
      <xdr:col>12</xdr:col>
      <xdr:colOff>142875</xdr:colOff>
      <xdr:row>10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791450" y="361950"/>
          <a:ext cx="4819650" cy="268605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buNone/>
          </a:pPr>
          <a:r>
            <a:rPr lang="en-US" sz="1200" b="1"/>
            <a:t>README – How</a:t>
          </a:r>
          <a:r>
            <a:rPr lang="en-US" sz="1200" b="1" baseline="0"/>
            <a:t> to use</a:t>
          </a:r>
        </a:p>
        <a:p>
          <a:pPr>
            <a:buNone/>
          </a:pPr>
          <a:endParaRPr lang="en-US" sz="1100" b="1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move things around</a:t>
          </a:r>
          <a:r>
            <a:rPr lang="en-US" sz="1200">
              <a:effectLst/>
            </a:rPr>
            <a:t> Some cells (like C4 for date) are fixed. Changing them can break automation.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Clear button</a:t>
          </a:r>
          <a:r>
            <a:rPr lang="en-US" sz="1200">
              <a:effectLst/>
            </a:rPr>
            <a:t> Always clear old data with the button. Don’t delete manually.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Organise button</a:t>
          </a:r>
          <a:r>
            <a:rPr lang="en-US" sz="1200">
              <a:effectLst/>
            </a:rPr>
            <a:t> It cleans up unused items and keeps reports neat.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touch formulas</a:t>
          </a:r>
          <a:r>
            <a:rPr lang="en-US" sz="1200">
              <a:effectLst/>
            </a:rPr>
            <a:t> Special formulas run the automation. Editing them may stop it from working.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Save the template in the right place</a:t>
          </a:r>
          <a:r>
            <a:rPr lang="en-US" sz="1200">
              <a:effectLst/>
            </a:rPr>
            <a:t> If the file isn’t there, automation won’t run.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latest Microsoft Office,</a:t>
          </a:r>
          <a:r>
            <a:rPr lang="en-US" sz="1200">
              <a:effectLst/>
            </a:rPr>
            <a:t> Older versions may not support all features.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19050</xdr:rowOff>
        </xdr:from>
        <xdr:to>
          <xdr:col>2</xdr:col>
          <xdr:colOff>438150</xdr:colOff>
          <xdr:row>7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Aptos Narrow"/>
                </a:rPr>
                <a:t>UPDATE COST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03"/>
  <sheetViews>
    <sheetView showGridLines="0" zoomScaleNormal="100" workbookViewId="0">
      <pane ySplit="6" topLeftCell="A7" activePane="bottomLeft" state="frozen"/>
      <selection activeCell="D20" sqref="D20"/>
      <selection pane="bottomLeft" activeCell="K14" sqref="K14"/>
    </sheetView>
  </sheetViews>
  <sheetFormatPr defaultColWidth="39.140625" defaultRowHeight="22.5" customHeight="1" x14ac:dyDescent="0.2"/>
  <cols>
    <col min="1" max="1" width="4.85546875" style="21" bestFit="1" customWidth="1"/>
    <col min="2" max="2" width="6.5703125" style="65" bestFit="1" customWidth="1"/>
    <col min="3" max="3" width="9.7109375" style="65" customWidth="1"/>
    <col min="4" max="4" width="38" style="65" customWidth="1"/>
    <col min="5" max="7" width="5.5703125" style="65" customWidth="1"/>
    <col min="8" max="8" width="5.5703125" style="66" customWidth="1"/>
    <col min="9" max="17" width="5.5703125" style="67" customWidth="1"/>
    <col min="18" max="18" width="7.5703125" style="68" customWidth="1"/>
    <col min="19" max="19" width="19.5703125" style="65" customWidth="1"/>
    <col min="20" max="20" width="6.5703125" style="68" customWidth="1"/>
    <col min="21" max="23" width="4.7109375" style="65" customWidth="1"/>
    <col min="24" max="24" width="5.5703125" style="64" hidden="1" customWidth="1"/>
    <col min="25" max="25" width="6.85546875" style="64" hidden="1" customWidth="1"/>
    <col min="26" max="26" width="9.140625" style="64" hidden="1" customWidth="1"/>
    <col min="27" max="27" width="15.28515625" style="57" customWidth="1"/>
    <col min="28" max="165" width="11.42578125" style="22" customWidth="1"/>
    <col min="166" max="16384" width="39.140625" style="22"/>
  </cols>
  <sheetData>
    <row r="1" spans="1:27" ht="11.25" x14ac:dyDescent="0.2"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3"/>
      <c r="Y1" s="23"/>
      <c r="Z1" s="23"/>
      <c r="AA1" s="24"/>
    </row>
    <row r="2" spans="1:27" ht="11.25" x14ac:dyDescent="0.2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3"/>
      <c r="Y2" s="23"/>
      <c r="Z2" s="23"/>
      <c r="AA2" s="24"/>
    </row>
    <row r="3" spans="1:27" ht="11.25" x14ac:dyDescent="0.2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3"/>
      <c r="Y3" s="23"/>
      <c r="Z3" s="23"/>
      <c r="AA3" s="24"/>
    </row>
    <row r="4" spans="1:27" ht="20.100000000000001" customHeight="1" x14ac:dyDescent="0.2"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3"/>
      <c r="Y4" s="23"/>
      <c r="Z4" s="23"/>
      <c r="AA4" s="24"/>
    </row>
    <row r="5" spans="1:27" ht="15" customHeight="1" x14ac:dyDescent="0.2">
      <c r="A5" s="14" t="s">
        <v>0</v>
      </c>
      <c r="B5" s="14" t="s">
        <v>1</v>
      </c>
      <c r="C5" s="14" t="s">
        <v>2</v>
      </c>
      <c r="D5" s="16" t="s">
        <v>3</v>
      </c>
      <c r="E5" s="8" t="s">
        <v>4</v>
      </c>
      <c r="F5" s="9"/>
      <c r="G5" s="10"/>
      <c r="H5" s="14" t="s">
        <v>5</v>
      </c>
      <c r="I5" s="14" t="s">
        <v>6</v>
      </c>
      <c r="J5" s="14" t="s">
        <v>7</v>
      </c>
      <c r="K5" s="14" t="s">
        <v>8</v>
      </c>
      <c r="L5" s="14" t="s">
        <v>9</v>
      </c>
      <c r="M5" s="14" t="s">
        <v>10</v>
      </c>
      <c r="N5" s="14" t="s">
        <v>11</v>
      </c>
      <c r="O5" s="14" t="s">
        <v>12</v>
      </c>
      <c r="P5" s="14" t="s">
        <v>13</v>
      </c>
      <c r="Q5" s="14" t="s">
        <v>14</v>
      </c>
      <c r="R5" s="14" t="s">
        <v>15</v>
      </c>
      <c r="S5" s="14" t="s">
        <v>16</v>
      </c>
      <c r="T5" s="14" t="s">
        <v>24</v>
      </c>
      <c r="U5" s="25" t="s">
        <v>25</v>
      </c>
      <c r="V5" s="26"/>
      <c r="W5" s="27"/>
      <c r="X5" s="16" t="s">
        <v>17</v>
      </c>
      <c r="Y5" s="16" t="s">
        <v>18</v>
      </c>
      <c r="Z5" s="16" t="s">
        <v>19</v>
      </c>
      <c r="AA5" s="24"/>
    </row>
    <row r="6" spans="1:27" ht="15" customHeight="1" x14ac:dyDescent="0.2">
      <c r="A6" s="15"/>
      <c r="B6" s="15"/>
      <c r="C6" s="15"/>
      <c r="D6" s="17"/>
      <c r="E6" s="28" t="s">
        <v>17</v>
      </c>
      <c r="F6" s="29" t="s">
        <v>18</v>
      </c>
      <c r="G6" s="29" t="s">
        <v>19</v>
      </c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7" t="s">
        <v>17</v>
      </c>
      <c r="V6" s="7" t="s">
        <v>18</v>
      </c>
      <c r="W6" s="7" t="s">
        <v>19</v>
      </c>
      <c r="X6" s="17"/>
      <c r="Y6" s="17"/>
      <c r="Z6" s="17"/>
      <c r="AA6" s="30" t="s">
        <v>43</v>
      </c>
    </row>
    <row r="7" spans="1:27" ht="15" customHeight="1" x14ac:dyDescent="0.2">
      <c r="A7" s="8" t="s">
        <v>20</v>
      </c>
      <c r="B7" s="9"/>
      <c r="C7" s="9"/>
      <c r="D7" s="10"/>
      <c r="E7" s="31">
        <f>EvalPower(E8:G8)</f>
        <v>53</v>
      </c>
      <c r="F7" s="32"/>
      <c r="G7" s="33"/>
      <c r="H7" s="34">
        <f t="shared" ref="H7:O7" si="0">EvalMath(H11:H99)</f>
        <v>11</v>
      </c>
      <c r="I7" s="34" t="str">
        <f t="shared" si="0"/>
        <v>-</v>
      </c>
      <c r="J7" s="34">
        <f t="shared" si="0"/>
        <v>22</v>
      </c>
      <c r="K7" s="34" t="str">
        <f t="shared" si="0"/>
        <v>-</v>
      </c>
      <c r="L7" s="34" t="str">
        <f t="shared" si="0"/>
        <v>-</v>
      </c>
      <c r="M7" s="34">
        <f t="shared" si="0"/>
        <v>5</v>
      </c>
      <c r="N7" s="34">
        <f t="shared" si="0"/>
        <v>7</v>
      </c>
      <c r="O7" s="34" t="str">
        <f t="shared" si="0"/>
        <v>-</v>
      </c>
      <c r="P7" s="34" t="s">
        <v>42</v>
      </c>
      <c r="Q7" s="34">
        <f>EvalMath(Q11:Q99)</f>
        <v>8</v>
      </c>
      <c r="R7" s="35">
        <f>EvalPower(R11:R99)-R9</f>
        <v>4824</v>
      </c>
      <c r="S7" s="36" t="s">
        <v>119</v>
      </c>
      <c r="T7" s="37"/>
      <c r="U7" s="38" t="str">
        <f t="shared" ref="U7:W7" si="1">EvalPower(U11:U99)</f>
        <v>0</v>
      </c>
      <c r="V7" s="38" t="str">
        <f t="shared" si="1"/>
        <v>0</v>
      </c>
      <c r="W7" s="38" t="str">
        <f t="shared" si="1"/>
        <v>0</v>
      </c>
      <c r="X7" s="39" t="str">
        <f t="shared" ref="X7:Z7" si="2">EvalPower(X11:X100)</f>
        <v>0</v>
      </c>
      <c r="Y7" s="39" t="str">
        <f t="shared" si="2"/>
        <v>0</v>
      </c>
      <c r="Z7" s="39" t="str">
        <f t="shared" si="2"/>
        <v>0</v>
      </c>
      <c r="AA7" s="35"/>
    </row>
    <row r="8" spans="1:27" ht="15" customHeight="1" x14ac:dyDescent="0.2">
      <c r="A8" s="18"/>
      <c r="B8" s="19"/>
      <c r="C8" s="19"/>
      <c r="D8" s="20"/>
      <c r="E8" s="2">
        <f>EvalPower(E11:E99)-E10</f>
        <v>53</v>
      </c>
      <c r="F8" s="2">
        <f>EvalPower(F11:F99)-F10</f>
        <v>0</v>
      </c>
      <c r="G8" s="2">
        <f>EvalPower(G11:G99)-G10</f>
        <v>0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1"/>
      <c r="S8" s="42"/>
      <c r="T8" s="43"/>
      <c r="U8" s="43"/>
      <c r="V8" s="43"/>
      <c r="W8" s="43"/>
      <c r="X8" s="41"/>
      <c r="Y8" s="41"/>
      <c r="Z8" s="41"/>
      <c r="AA8" s="41"/>
    </row>
    <row r="9" spans="1:27" ht="15" customHeight="1" x14ac:dyDescent="0.2">
      <c r="A9" s="8" t="s">
        <v>21</v>
      </c>
      <c r="B9" s="9"/>
      <c r="C9" s="9"/>
      <c r="D9" s="10"/>
      <c r="E9" s="44" t="str">
        <f>EvalPower(E10:G10)</f>
        <v>0</v>
      </c>
      <c r="F9" s="45"/>
      <c r="G9" s="46"/>
      <c r="H9" s="36"/>
      <c r="I9" s="36"/>
      <c r="J9" s="36"/>
      <c r="K9" s="36"/>
      <c r="L9" s="36"/>
      <c r="M9" s="36"/>
      <c r="N9" s="36"/>
      <c r="O9" s="36"/>
      <c r="P9" s="36" t="str">
        <f>EvalMath(P11:P99)</f>
        <v>-</v>
      </c>
      <c r="Q9" s="36"/>
      <c r="R9" s="37" t="str">
        <f>EvalPower(X7:Z8)</f>
        <v>0</v>
      </c>
      <c r="S9" s="47"/>
      <c r="T9" s="36"/>
      <c r="U9" s="37"/>
      <c r="V9" s="37"/>
      <c r="W9" s="37"/>
      <c r="X9" s="35"/>
      <c r="Y9" s="35"/>
      <c r="Z9" s="35"/>
      <c r="AA9" s="35"/>
    </row>
    <row r="10" spans="1:27" ht="15" customHeight="1" x14ac:dyDescent="0.2">
      <c r="A10" s="11"/>
      <c r="B10" s="12"/>
      <c r="C10" s="12"/>
      <c r="D10" s="13"/>
      <c r="E10" s="48" t="str">
        <f>U7</f>
        <v>0</v>
      </c>
      <c r="F10" s="48" t="str">
        <f>V7</f>
        <v>0</v>
      </c>
      <c r="G10" s="48" t="str">
        <f>W7</f>
        <v>0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S10" s="49"/>
      <c r="T10" s="42"/>
      <c r="U10" s="43"/>
      <c r="V10" s="43"/>
      <c r="W10" s="43"/>
      <c r="X10" s="41"/>
      <c r="Y10" s="41"/>
      <c r="Z10" s="41"/>
      <c r="AA10" s="41"/>
    </row>
    <row r="11" spans="1:27" ht="22.5" customHeight="1" x14ac:dyDescent="0.2">
      <c r="A11" s="2">
        <v>1</v>
      </c>
      <c r="B11" s="4" t="s">
        <v>47</v>
      </c>
      <c r="C11" s="2" t="s">
        <v>56</v>
      </c>
      <c r="D11" s="2" t="s">
        <v>99</v>
      </c>
      <c r="E11" s="50" t="s">
        <v>122</v>
      </c>
      <c r="F11" s="50" t="s">
        <v>42</v>
      </c>
      <c r="G11" s="50" t="s">
        <v>42</v>
      </c>
      <c r="H11" s="51"/>
      <c r="I11" s="51"/>
      <c r="J11" s="51"/>
      <c r="K11" s="51"/>
      <c r="L11" s="51"/>
      <c r="M11" s="51"/>
      <c r="N11" s="51" t="s">
        <v>122</v>
      </c>
      <c r="O11" s="51"/>
      <c r="P11" s="51"/>
      <c r="Q11" s="51"/>
      <c r="R11" s="52">
        <f>(EvalPower(E11:G11)*T11)</f>
        <v>88</v>
      </c>
      <c r="S11" s="53"/>
      <c r="T11" s="54">
        <v>22</v>
      </c>
      <c r="U11" s="55"/>
      <c r="V11" s="55"/>
      <c r="W11" s="55"/>
      <c r="X11" s="52">
        <f>U11*T11</f>
        <v>0</v>
      </c>
      <c r="Y11" s="52">
        <f>V11*T11</f>
        <v>0</v>
      </c>
      <c r="Z11" s="52">
        <f>W11*T11</f>
        <v>0</v>
      </c>
      <c r="AA11" s="56" t="str">
        <f>IF(AND(EvalPower(E11:G11)=EvalPower(H11:Q11),EvalPower(P11)=EvalPower(U11:W11)),"",IF(AND(EvalPower(E11:G11)&lt;&gt;EvalPower(H11:Q11),EvalPower(P11)&lt;&gt;EvalPower(U11:W11)),"NG Total and Power total both mistake",IF(EvalPower(E11:G11)&lt;&gt;EvalPower(H11:Q11),"TOTAL ERROR","POWER CUT ERROR!")))</f>
        <v/>
      </c>
    </row>
    <row r="12" spans="1:27" ht="22.5" customHeight="1" x14ac:dyDescent="0.2">
      <c r="A12" s="2">
        <v>2</v>
      </c>
      <c r="B12" s="4" t="s">
        <v>48</v>
      </c>
      <c r="C12" s="2" t="s">
        <v>96</v>
      </c>
      <c r="D12" s="2" t="s">
        <v>101</v>
      </c>
      <c r="E12" s="50" t="s">
        <v>123</v>
      </c>
      <c r="F12" s="50" t="s">
        <v>42</v>
      </c>
      <c r="G12" s="50" t="s">
        <v>42</v>
      </c>
      <c r="H12" s="51"/>
      <c r="I12" s="51"/>
      <c r="J12" s="51" t="s">
        <v>124</v>
      </c>
      <c r="K12" s="51"/>
      <c r="L12" s="51"/>
      <c r="M12" s="51"/>
      <c r="N12" s="51"/>
      <c r="O12" s="51"/>
      <c r="P12" s="51"/>
      <c r="Q12" s="51" t="s">
        <v>125</v>
      </c>
      <c r="R12" s="52">
        <f t="shared" ref="R12:R21" si="3">(EvalPower(E12:G12)*T12)</f>
        <v>264</v>
      </c>
      <c r="S12" s="53"/>
      <c r="T12" s="54">
        <v>22</v>
      </c>
      <c r="U12" s="55"/>
      <c r="V12" s="55"/>
      <c r="W12" s="55"/>
      <c r="X12" s="52">
        <f t="shared" ref="X12:X21" si="4">U12*T12</f>
        <v>0</v>
      </c>
      <c r="Y12" s="52">
        <f t="shared" ref="Y12:Y21" si="5">V12*T12</f>
        <v>0</v>
      </c>
      <c r="Z12" s="52">
        <f t="shared" ref="Z12:Z21" si="6">W12*T12</f>
        <v>0</v>
      </c>
      <c r="AA12" s="56" t="str">
        <f t="shared" ref="AA12:AA21" si="7">IF(AND(EvalPower(E12:G12)=EvalPower(H12:Q12),EvalPower(P12)=EvalPower(U12:W12)),"",IF(AND(EvalPower(E12:G12)&lt;&gt;EvalPower(H12:Q12),EvalPower(P12)&lt;&gt;EvalPower(U12:W12)),"NG Total and Power total both mistake",IF(EvalPower(E12:G12)&lt;&gt;EvalPower(H12:Q12),"TOTAL ERROR","POWER CUT ERROR!")))</f>
        <v/>
      </c>
    </row>
    <row r="13" spans="1:27" ht="22.5" customHeight="1" x14ac:dyDescent="0.2">
      <c r="A13" s="2">
        <v>3</v>
      </c>
      <c r="B13" s="4" t="s">
        <v>69</v>
      </c>
      <c r="C13" s="3" t="s">
        <v>62</v>
      </c>
      <c r="D13" s="3" t="s">
        <v>126</v>
      </c>
      <c r="E13" s="50" t="s">
        <v>122</v>
      </c>
      <c r="F13" s="50" t="s">
        <v>42</v>
      </c>
      <c r="G13" s="50" t="s">
        <v>42</v>
      </c>
      <c r="H13" s="51"/>
      <c r="I13" s="51"/>
      <c r="J13" s="51" t="s">
        <v>122</v>
      </c>
      <c r="K13" s="51"/>
      <c r="L13" s="51"/>
      <c r="M13" s="51"/>
      <c r="N13" s="51"/>
      <c r="O13" s="51"/>
      <c r="P13" s="51"/>
      <c r="Q13" s="51"/>
      <c r="R13" s="52">
        <f t="shared" si="3"/>
        <v>180</v>
      </c>
      <c r="S13" s="53"/>
      <c r="T13" s="54">
        <v>45</v>
      </c>
      <c r="U13" s="55"/>
      <c r="V13" s="55"/>
      <c r="W13" s="55"/>
      <c r="X13" s="52">
        <f t="shared" si="4"/>
        <v>0</v>
      </c>
      <c r="Y13" s="52">
        <f t="shared" si="5"/>
        <v>0</v>
      </c>
      <c r="Z13" s="52">
        <f t="shared" si="6"/>
        <v>0</v>
      </c>
      <c r="AA13" s="56" t="str">
        <f t="shared" si="7"/>
        <v/>
      </c>
    </row>
    <row r="14" spans="1:27" ht="22.5" customHeight="1" x14ac:dyDescent="0.2">
      <c r="A14" s="2">
        <v>4</v>
      </c>
      <c r="B14" s="4" t="s">
        <v>49</v>
      </c>
      <c r="C14" s="3" t="s">
        <v>62</v>
      </c>
      <c r="D14" s="2" t="s">
        <v>102</v>
      </c>
      <c r="E14" s="50" t="s">
        <v>127</v>
      </c>
      <c r="F14" s="50" t="s">
        <v>42</v>
      </c>
      <c r="G14" s="50" t="s">
        <v>42</v>
      </c>
      <c r="H14" s="51"/>
      <c r="I14" s="51"/>
      <c r="J14" s="51"/>
      <c r="K14" s="51"/>
      <c r="L14" s="51"/>
      <c r="M14" s="51"/>
      <c r="N14" s="51" t="s">
        <v>127</v>
      </c>
      <c r="O14" s="51"/>
      <c r="P14" s="51"/>
      <c r="Q14" s="51"/>
      <c r="R14" s="52">
        <f t="shared" si="3"/>
        <v>202</v>
      </c>
      <c r="S14" s="53"/>
      <c r="T14" s="54">
        <v>202</v>
      </c>
      <c r="U14" s="55"/>
      <c r="V14" s="55"/>
      <c r="W14" s="55"/>
      <c r="X14" s="52">
        <f t="shared" si="4"/>
        <v>0</v>
      </c>
      <c r="Y14" s="52">
        <f t="shared" si="5"/>
        <v>0</v>
      </c>
      <c r="Z14" s="52">
        <f t="shared" si="6"/>
        <v>0</v>
      </c>
      <c r="AA14" s="56" t="str">
        <f t="shared" si="7"/>
        <v/>
      </c>
    </row>
    <row r="15" spans="1:27" ht="22.5" customHeight="1" x14ac:dyDescent="0.2">
      <c r="A15" s="2">
        <v>5</v>
      </c>
      <c r="B15" s="4" t="s">
        <v>51</v>
      </c>
      <c r="C15" s="5" t="s">
        <v>50</v>
      </c>
      <c r="D15" s="5" t="s">
        <v>128</v>
      </c>
      <c r="E15" s="50" t="s">
        <v>129</v>
      </c>
      <c r="F15" s="50" t="s">
        <v>42</v>
      </c>
      <c r="G15" s="50" t="s">
        <v>42</v>
      </c>
      <c r="H15" s="51"/>
      <c r="I15" s="51"/>
      <c r="J15" s="51"/>
      <c r="K15" s="51"/>
      <c r="L15" s="51"/>
      <c r="M15" s="51" t="s">
        <v>129</v>
      </c>
      <c r="N15" s="51"/>
      <c r="O15" s="51"/>
      <c r="P15" s="51"/>
      <c r="Q15" s="51"/>
      <c r="R15" s="52">
        <f t="shared" si="3"/>
        <v>246</v>
      </c>
      <c r="S15" s="53"/>
      <c r="T15" s="54">
        <v>82</v>
      </c>
      <c r="U15" s="55"/>
      <c r="V15" s="55"/>
      <c r="W15" s="55"/>
      <c r="X15" s="52">
        <f t="shared" si="4"/>
        <v>0</v>
      </c>
      <c r="Y15" s="52">
        <f t="shared" si="5"/>
        <v>0</v>
      </c>
      <c r="Z15" s="52">
        <f t="shared" si="6"/>
        <v>0</v>
      </c>
      <c r="AA15" s="56" t="str">
        <f t="shared" si="7"/>
        <v/>
      </c>
    </row>
    <row r="16" spans="1:27" ht="22.5" customHeight="1" x14ac:dyDescent="0.2">
      <c r="A16" s="2">
        <v>6</v>
      </c>
      <c r="B16" s="4" t="s">
        <v>52</v>
      </c>
      <c r="C16" s="2" t="s">
        <v>94</v>
      </c>
      <c r="D16" s="2" t="s">
        <v>130</v>
      </c>
      <c r="E16" s="50" t="s">
        <v>131</v>
      </c>
      <c r="F16" s="50" t="s">
        <v>42</v>
      </c>
      <c r="G16" s="50" t="s">
        <v>42</v>
      </c>
      <c r="H16" s="51"/>
      <c r="I16" s="51"/>
      <c r="J16" s="51"/>
      <c r="K16" s="51"/>
      <c r="L16" s="51"/>
      <c r="M16" s="51" t="s">
        <v>132</v>
      </c>
      <c r="N16" s="51" t="s">
        <v>132</v>
      </c>
      <c r="O16" s="51"/>
      <c r="P16" s="51"/>
      <c r="Q16" s="51" t="s">
        <v>132</v>
      </c>
      <c r="R16" s="52">
        <f t="shared" si="3"/>
        <v>492</v>
      </c>
      <c r="S16" s="53"/>
      <c r="T16" s="54">
        <v>82</v>
      </c>
      <c r="U16" s="55"/>
      <c r="V16" s="55"/>
      <c r="W16" s="55"/>
      <c r="X16" s="52">
        <f t="shared" si="4"/>
        <v>0</v>
      </c>
      <c r="Y16" s="52">
        <f t="shared" si="5"/>
        <v>0</v>
      </c>
      <c r="Z16" s="52">
        <f t="shared" si="6"/>
        <v>0</v>
      </c>
      <c r="AA16" s="56" t="str">
        <f t="shared" si="7"/>
        <v/>
      </c>
    </row>
    <row r="17" spans="1:27" ht="22.5" customHeight="1" x14ac:dyDescent="0.2">
      <c r="A17" s="2">
        <v>7</v>
      </c>
      <c r="B17" s="4" t="s">
        <v>55</v>
      </c>
      <c r="C17" s="2" t="s">
        <v>94</v>
      </c>
      <c r="D17" s="2" t="s">
        <v>133</v>
      </c>
      <c r="E17" s="50" t="s">
        <v>129</v>
      </c>
      <c r="F17" s="50" t="s">
        <v>42</v>
      </c>
      <c r="G17" s="50" t="s">
        <v>42</v>
      </c>
      <c r="H17" s="51" t="s">
        <v>129</v>
      </c>
      <c r="I17" s="51"/>
      <c r="J17" s="51"/>
      <c r="K17" s="51"/>
      <c r="L17" s="51"/>
      <c r="M17" s="51"/>
      <c r="N17" s="51"/>
      <c r="O17" s="51"/>
      <c r="P17" s="51"/>
      <c r="Q17" s="51"/>
      <c r="R17" s="52">
        <f t="shared" si="3"/>
        <v>180</v>
      </c>
      <c r="S17" s="53"/>
      <c r="T17" s="54">
        <v>60</v>
      </c>
      <c r="U17" s="55"/>
      <c r="V17" s="55"/>
      <c r="W17" s="55"/>
      <c r="X17" s="52">
        <f t="shared" si="4"/>
        <v>0</v>
      </c>
      <c r="Y17" s="52">
        <f t="shared" si="5"/>
        <v>0</v>
      </c>
      <c r="Z17" s="52">
        <f t="shared" si="6"/>
        <v>0</v>
      </c>
      <c r="AA17" s="56" t="str">
        <f t="shared" si="7"/>
        <v/>
      </c>
    </row>
    <row r="18" spans="1:27" ht="22.5" customHeight="1" x14ac:dyDescent="0.2">
      <c r="A18" s="2">
        <v>8</v>
      </c>
      <c r="B18" s="4" t="s">
        <v>90</v>
      </c>
      <c r="C18" s="2" t="s">
        <v>89</v>
      </c>
      <c r="D18" s="2" t="s">
        <v>138</v>
      </c>
      <c r="E18" s="50" t="s">
        <v>131</v>
      </c>
      <c r="F18" s="50" t="s">
        <v>42</v>
      </c>
      <c r="G18" s="50" t="s">
        <v>42</v>
      </c>
      <c r="H18" s="51"/>
      <c r="I18" s="51"/>
      <c r="J18" s="51" t="s">
        <v>139</v>
      </c>
      <c r="K18" s="51"/>
      <c r="L18" s="51"/>
      <c r="M18" s="51"/>
      <c r="N18" s="51"/>
      <c r="O18" s="51"/>
      <c r="P18" s="51"/>
      <c r="Q18" s="51"/>
      <c r="R18" s="52">
        <f t="shared" si="3"/>
        <v>402</v>
      </c>
      <c r="S18" s="53"/>
      <c r="T18" s="54">
        <v>67</v>
      </c>
      <c r="U18" s="55"/>
      <c r="V18" s="55"/>
      <c r="W18" s="55"/>
      <c r="X18" s="52">
        <f t="shared" si="4"/>
        <v>0</v>
      </c>
      <c r="Y18" s="52">
        <f t="shared" si="5"/>
        <v>0</v>
      </c>
      <c r="Z18" s="52">
        <f t="shared" si="6"/>
        <v>0</v>
      </c>
      <c r="AA18" s="56" t="str">
        <f t="shared" si="7"/>
        <v/>
      </c>
    </row>
    <row r="19" spans="1:27" ht="22.5" customHeight="1" x14ac:dyDescent="0.2">
      <c r="A19" s="2">
        <v>9</v>
      </c>
      <c r="B19" s="4" t="s">
        <v>65</v>
      </c>
      <c r="C19" s="2" t="s">
        <v>140</v>
      </c>
      <c r="D19" s="2" t="s">
        <v>72</v>
      </c>
      <c r="E19" s="50" t="s">
        <v>132</v>
      </c>
      <c r="F19" s="50" t="s">
        <v>42</v>
      </c>
      <c r="G19" s="50" t="s">
        <v>42</v>
      </c>
      <c r="H19" s="51"/>
      <c r="I19" s="51"/>
      <c r="J19" s="51"/>
      <c r="K19" s="51"/>
      <c r="L19" s="51"/>
      <c r="M19" s="51"/>
      <c r="N19" s="51"/>
      <c r="O19" s="51"/>
      <c r="P19" s="51"/>
      <c r="Q19" s="51" t="s">
        <v>132</v>
      </c>
      <c r="R19" s="52">
        <f t="shared" si="3"/>
        <v>246</v>
      </c>
      <c r="S19" s="53"/>
      <c r="T19" s="54">
        <v>123</v>
      </c>
      <c r="U19" s="55"/>
      <c r="V19" s="55"/>
      <c r="W19" s="55"/>
      <c r="X19" s="52">
        <f t="shared" si="4"/>
        <v>0</v>
      </c>
      <c r="Y19" s="52">
        <f t="shared" si="5"/>
        <v>0</v>
      </c>
      <c r="Z19" s="52">
        <f t="shared" si="6"/>
        <v>0</v>
      </c>
      <c r="AA19" s="56" t="str">
        <f t="shared" si="7"/>
        <v/>
      </c>
    </row>
    <row r="20" spans="1:27" ht="22.5" customHeight="1" x14ac:dyDescent="0.2">
      <c r="A20" s="2">
        <v>10</v>
      </c>
      <c r="B20" s="4" t="s">
        <v>65</v>
      </c>
      <c r="C20" s="2" t="s">
        <v>62</v>
      </c>
      <c r="D20" s="2" t="s">
        <v>141</v>
      </c>
      <c r="E20" s="50" t="s">
        <v>122</v>
      </c>
      <c r="F20" s="50" t="s">
        <v>42</v>
      </c>
      <c r="G20" s="50" t="s">
        <v>42</v>
      </c>
      <c r="H20" s="51"/>
      <c r="I20" s="51"/>
      <c r="J20" s="51" t="s">
        <v>122</v>
      </c>
      <c r="K20" s="51"/>
      <c r="L20" s="51"/>
      <c r="M20" s="51"/>
      <c r="N20" s="51"/>
      <c r="O20" s="51"/>
      <c r="P20" s="51"/>
      <c r="Q20" s="51"/>
      <c r="R20" s="52">
        <f t="shared" si="3"/>
        <v>492</v>
      </c>
      <c r="S20" s="53"/>
      <c r="T20" s="54">
        <v>123</v>
      </c>
      <c r="U20" s="55"/>
      <c r="V20" s="55"/>
      <c r="W20" s="55"/>
      <c r="X20" s="52">
        <f t="shared" si="4"/>
        <v>0</v>
      </c>
      <c r="Y20" s="52">
        <f t="shared" si="5"/>
        <v>0</v>
      </c>
      <c r="Z20" s="52">
        <f t="shared" si="6"/>
        <v>0</v>
      </c>
      <c r="AA20" s="56" t="str">
        <f t="shared" si="7"/>
        <v/>
      </c>
    </row>
    <row r="21" spans="1:27" ht="22.5" customHeight="1" x14ac:dyDescent="0.2">
      <c r="A21" s="2">
        <v>11</v>
      </c>
      <c r="B21" s="4" t="s">
        <v>60</v>
      </c>
      <c r="C21" s="2" t="s">
        <v>143</v>
      </c>
      <c r="D21" s="2" t="s">
        <v>142</v>
      </c>
      <c r="E21" s="50" t="s">
        <v>144</v>
      </c>
      <c r="F21" s="50" t="s">
        <v>42</v>
      </c>
      <c r="G21" s="50" t="s">
        <v>42</v>
      </c>
      <c r="H21" s="51" t="s">
        <v>145</v>
      </c>
      <c r="I21" s="51"/>
      <c r="J21" s="51"/>
      <c r="K21" s="51"/>
      <c r="L21" s="51"/>
      <c r="M21" s="51"/>
      <c r="N21" s="51"/>
      <c r="O21" s="51"/>
      <c r="P21" s="51"/>
      <c r="Q21" s="51"/>
      <c r="R21" s="52">
        <f t="shared" si="3"/>
        <v>2032</v>
      </c>
      <c r="S21" s="53"/>
      <c r="T21" s="54">
        <v>254</v>
      </c>
      <c r="U21" s="55"/>
      <c r="V21" s="55"/>
      <c r="W21" s="55"/>
      <c r="X21" s="52">
        <f t="shared" si="4"/>
        <v>0</v>
      </c>
      <c r="Y21" s="52">
        <f t="shared" si="5"/>
        <v>0</v>
      </c>
      <c r="Z21" s="52">
        <f t="shared" si="6"/>
        <v>0</v>
      </c>
      <c r="AA21" s="56" t="str">
        <f t="shared" si="7"/>
        <v/>
      </c>
    </row>
    <row r="22" spans="1:27" ht="22.5" customHeight="1" x14ac:dyDescent="0.2">
      <c r="A22" s="2"/>
      <c r="B22" s="4"/>
      <c r="C22" s="2"/>
      <c r="D22" s="2"/>
      <c r="E22" s="50"/>
      <c r="F22" s="50"/>
      <c r="G22" s="50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2"/>
      <c r="S22" s="53"/>
      <c r="T22" s="54"/>
      <c r="U22" s="55"/>
      <c r="V22" s="55"/>
      <c r="W22" s="55"/>
      <c r="X22" s="52"/>
      <c r="Y22" s="52"/>
      <c r="Z22" s="52"/>
      <c r="AA22" s="56" t="str">
        <f>IF(AND(EvalPower(E22:G22)=EvalPower(H22:Q22),EvalPower(P22)=EvalPower(U22:W22)),"",IF(AND(EvalPower(E22:G22)&lt;&gt;EvalPower(H22:Q22),EvalPower(P22)&lt;&gt;EvalPower(U22:W22)),"NG Total and Power total both mistake",IF(EvalPower(E22:G22)&lt;&gt;EvalPower(H22:Q22),"TOTAL ERROR","POWER CUT ERROR!")))</f>
        <v/>
      </c>
    </row>
    <row r="23" spans="1:27" ht="22.5" customHeight="1" x14ac:dyDescent="0.2">
      <c r="A23" s="2"/>
      <c r="B23" s="4"/>
      <c r="C23" s="2"/>
      <c r="D23" s="2"/>
      <c r="E23" s="50"/>
      <c r="F23" s="50"/>
      <c r="G23" s="50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2"/>
      <c r="S23" s="53"/>
      <c r="T23" s="54"/>
      <c r="U23" s="55"/>
      <c r="V23" s="55"/>
      <c r="W23" s="55"/>
      <c r="X23" s="52"/>
      <c r="Y23" s="52"/>
      <c r="Z23" s="52"/>
      <c r="AA23" s="56" t="str">
        <f>IF(AND(EvalPower(E23:G23)=EvalPower(H23:Q23),EvalPower(P23)=EvalPower(U23:W23)),"",IF(AND(EvalPower(E23:G23)&lt;&gt;EvalPower(H23:Q23),EvalPower(P23)&lt;&gt;EvalPower(U23:W23)),"NG Total and Power total both mistake",IF(EvalPower(E23:G23)&lt;&gt;EvalPower(H23:Q23),"TOTAL ERROR","POWER CUT ERROR!")))</f>
        <v/>
      </c>
    </row>
    <row r="24" spans="1:27" ht="22.5" customHeight="1" x14ac:dyDescent="0.2">
      <c r="A24" s="2"/>
      <c r="B24" s="4"/>
      <c r="C24" s="2"/>
      <c r="D24" s="2"/>
      <c r="E24" s="50"/>
      <c r="F24" s="50"/>
      <c r="G24" s="50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2"/>
      <c r="S24" s="53"/>
      <c r="T24" s="54"/>
      <c r="U24" s="55"/>
      <c r="V24" s="55"/>
      <c r="W24" s="55"/>
      <c r="X24" s="52"/>
      <c r="Y24" s="52"/>
      <c r="Z24" s="52"/>
      <c r="AA24" s="56" t="str">
        <f>IF(AND(EvalPower(E24:G24)=EvalPower(H24:Q24),EvalPower(P24)=EvalPower(U24:W24)),"",IF(AND(EvalPower(E24:G24)&lt;&gt;EvalPower(H24:Q24),EvalPower(P24)&lt;&gt;EvalPower(U24:W24)),"NG Total and Power total both mistake",IF(EvalPower(E24:G24)&lt;&gt;EvalPower(H24:Q24),"TOTAL ERROR","POWER CUT ERROR!")))</f>
        <v/>
      </c>
    </row>
    <row r="25" spans="1:27" ht="22.5" customHeight="1" x14ac:dyDescent="0.2">
      <c r="A25" s="2"/>
      <c r="B25" s="4"/>
      <c r="C25" s="2"/>
      <c r="D25" s="2"/>
      <c r="E25" s="50"/>
      <c r="F25" s="50"/>
      <c r="G25" s="50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2"/>
      <c r="S25" s="53"/>
      <c r="T25" s="54"/>
      <c r="U25" s="55"/>
      <c r="V25" s="55"/>
      <c r="W25" s="55"/>
      <c r="X25" s="52"/>
      <c r="Y25" s="52"/>
      <c r="Z25" s="52"/>
      <c r="AA25" s="56" t="str">
        <f>IF(AND(EvalPower(E25:G25)=EvalPower(H25:Q25),EvalPower(P25)=EvalPower(U25:W25)),"",IF(AND(EvalPower(E25:G25)&lt;&gt;EvalPower(H25:Q25),EvalPower(P25)&lt;&gt;EvalPower(U25:W25)),"NG Total and Power total both mistake",IF(EvalPower(E25:G25)&lt;&gt;EvalPower(H25:Q25),"TOTAL ERROR","POWER CUT ERROR!")))</f>
        <v/>
      </c>
    </row>
    <row r="26" spans="1:27" ht="22.5" customHeight="1" x14ac:dyDescent="0.2">
      <c r="A26" s="2"/>
      <c r="B26" s="4"/>
      <c r="C26" s="2"/>
      <c r="D26" s="2"/>
      <c r="E26" s="50"/>
      <c r="F26" s="50"/>
      <c r="G26" s="50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2"/>
      <c r="S26" s="53"/>
      <c r="T26" s="54"/>
      <c r="U26" s="55"/>
      <c r="V26" s="55"/>
      <c r="W26" s="55"/>
      <c r="X26" s="52"/>
      <c r="Y26" s="52"/>
      <c r="Z26" s="52"/>
      <c r="AA26" s="56" t="str">
        <f>IF(AND(EvalPower(E26:G26)=EvalPower(H26:Q26), EvalPower(P26)=EvalPower(U26:W26)), "", IF(AND(EvalPower(E26:G26)&lt;&gt;EvalPower(H26:Q26), EvalPower(P26)&lt;&gt;EvalPower(U26:W26)), "NG Total and Power total both mistake", IF(EvalPower(E26:G26)&lt;&gt;EvalPower(H26:Q26), "TOTAL ERROR", "POWER CUT ERROR!")))</f>
        <v/>
      </c>
    </row>
    <row r="27" spans="1:27" ht="22.5" customHeight="1" x14ac:dyDescent="0.2">
      <c r="A27" s="2"/>
      <c r="B27" s="4"/>
      <c r="C27" s="2"/>
      <c r="D27" s="2"/>
      <c r="E27" s="50"/>
      <c r="F27" s="50"/>
      <c r="G27" s="50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2"/>
      <c r="S27" s="53"/>
      <c r="T27" s="54"/>
      <c r="U27" s="55"/>
      <c r="V27" s="55"/>
      <c r="W27" s="55"/>
      <c r="X27" s="52"/>
      <c r="Y27" s="52"/>
      <c r="Z27" s="52"/>
      <c r="AA27" s="56" t="str">
        <f>IF(AND(EvalPower(E27:G27)=EvalPower(H27:Q27), EvalPower(P27)=EvalPower(U27:W27)), "", IF(AND(EvalPower(E27:G27)&lt;&gt;EvalPower(H27:Q27), EvalPower(P27)&lt;&gt;EvalPower(U27:W27)), "NG Total and Power total both mistake", IF(EvalPower(E27:G27)&lt;&gt;EvalPower(H27:Q27), "TOTAL ERROR", "POWER CUT ERROR!")))</f>
        <v/>
      </c>
    </row>
    <row r="28" spans="1:27" ht="22.5" customHeight="1" x14ac:dyDescent="0.2">
      <c r="A28" s="2"/>
      <c r="B28" s="4"/>
      <c r="C28" s="2"/>
      <c r="D28" s="2"/>
      <c r="E28" s="50"/>
      <c r="F28" s="50"/>
      <c r="G28" s="50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2"/>
      <c r="S28" s="53"/>
      <c r="T28" s="54"/>
      <c r="U28" s="55"/>
      <c r="V28" s="55"/>
      <c r="W28" s="55"/>
      <c r="X28" s="52"/>
      <c r="Y28" s="52"/>
      <c r="Z28" s="52"/>
      <c r="AA28" s="56" t="str">
        <f t="shared" ref="AA28:AA42" si="8">IF(AND(EvalPower(E28:G28)=EvalPower(H28:Q28), EvalPower(P28)=EvalPower(U28:W28)), "", IF(AND(EvalPower(E28:G28)&lt;&gt;EvalPower(H28:Q28), EvalPower(P28)&lt;&gt;EvalPower(U28:W28)), "NG Total and Power total both mistake", IF(EvalPower(E28:G28)&lt;&gt;EvalPower(H28:Q28), "TOTAL ERROR", "POWER CUT ERROR!")))</f>
        <v/>
      </c>
    </row>
    <row r="29" spans="1:27" ht="22.5" customHeight="1" x14ac:dyDescent="0.2">
      <c r="A29" s="2"/>
      <c r="B29" s="4"/>
      <c r="C29" s="2"/>
      <c r="D29" s="2"/>
      <c r="E29" s="50"/>
      <c r="F29" s="50"/>
      <c r="G29" s="50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2"/>
      <c r="S29" s="53"/>
      <c r="T29" s="54"/>
      <c r="U29" s="55"/>
      <c r="V29" s="55"/>
      <c r="W29" s="55"/>
      <c r="X29" s="52"/>
      <c r="Y29" s="52"/>
      <c r="Z29" s="52"/>
      <c r="AA29" s="56" t="str">
        <f t="shared" si="8"/>
        <v/>
      </c>
    </row>
    <row r="30" spans="1:27" ht="22.5" customHeight="1" x14ac:dyDescent="0.2">
      <c r="A30" s="2"/>
      <c r="B30" s="4"/>
      <c r="C30" s="2"/>
      <c r="D30" s="2"/>
      <c r="E30" s="50"/>
      <c r="F30" s="50"/>
      <c r="G30" s="50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2"/>
      <c r="S30" s="53"/>
      <c r="T30" s="54"/>
      <c r="U30" s="55"/>
      <c r="V30" s="55"/>
      <c r="W30" s="55"/>
      <c r="X30" s="52"/>
      <c r="Y30" s="52"/>
      <c r="Z30" s="52"/>
      <c r="AA30" s="56" t="str">
        <f>IF(AND(EvalPower(E30:G30)=EvalPower(H30:Q30), EvalPower(P30)=EvalPower(U30:W30)), "", IF(AND(EvalPower(E30:G30)&lt;&gt;EvalPower(H30:Q30), EvalPower(P30)&lt;&gt;EvalPower(U30:W30)), "NG Total and Power total both mistake", IF(EvalPower(E30:G30)&lt;&gt;EvalPower(H30:Q30), "TOTAL ERROR", "POWER CUT ERROR!")))</f>
        <v/>
      </c>
    </row>
    <row r="31" spans="1:27" ht="22.5" customHeight="1" x14ac:dyDescent="0.2">
      <c r="A31" s="2"/>
      <c r="B31" s="4"/>
      <c r="C31" s="2"/>
      <c r="D31" s="2"/>
      <c r="E31" s="50"/>
      <c r="F31" s="50"/>
      <c r="G31" s="50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2"/>
      <c r="S31" s="53"/>
      <c r="T31" s="54"/>
      <c r="U31" s="55"/>
      <c r="V31" s="55"/>
      <c r="W31" s="55"/>
      <c r="X31" s="52"/>
      <c r="Y31" s="52"/>
      <c r="Z31" s="52"/>
      <c r="AA31" s="56" t="str">
        <f t="shared" si="8"/>
        <v/>
      </c>
    </row>
    <row r="32" spans="1:27" ht="22.5" customHeight="1" x14ac:dyDescent="0.2">
      <c r="A32" s="2"/>
      <c r="B32" s="4"/>
      <c r="C32" s="2"/>
      <c r="D32" s="2"/>
      <c r="E32" s="50"/>
      <c r="F32" s="50"/>
      <c r="G32" s="50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2"/>
      <c r="S32" s="53"/>
      <c r="T32" s="54"/>
      <c r="U32" s="55"/>
      <c r="V32" s="55"/>
      <c r="W32" s="55"/>
      <c r="X32" s="52"/>
      <c r="Y32" s="52"/>
      <c r="Z32" s="52"/>
      <c r="AA32" s="56" t="str">
        <f>IF(AND(EvalPower(E32:G32)=EvalPower(H32:Q32), EvalPower(P32)=EvalPower(U32:W32)), "", IF(AND(EvalPower(E32:G32)&lt;&gt;EvalPower(H32:Q32), EvalPower(P32)&lt;&gt;EvalPower(U32:W32)), "NG Total and Power total both mistake", IF(EvalPower(E32:G32)&lt;&gt;EvalPower(H32:Q32), "TOTAL ERROR", "POWER CUT ERROR!")))</f>
        <v/>
      </c>
    </row>
    <row r="33" spans="1:27" ht="22.5" customHeight="1" x14ac:dyDescent="0.2">
      <c r="A33" s="2"/>
      <c r="B33" s="4"/>
      <c r="C33" s="2"/>
      <c r="D33" s="2"/>
      <c r="E33" s="50"/>
      <c r="F33" s="50"/>
      <c r="G33" s="50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2"/>
      <c r="S33" s="53"/>
      <c r="T33" s="54"/>
      <c r="U33" s="55"/>
      <c r="V33" s="55"/>
      <c r="W33" s="55"/>
      <c r="X33" s="52"/>
      <c r="Y33" s="52"/>
      <c r="Z33" s="52"/>
      <c r="AA33" s="56" t="str">
        <f t="shared" si="8"/>
        <v/>
      </c>
    </row>
    <row r="34" spans="1:27" ht="22.5" customHeight="1" x14ac:dyDescent="0.2">
      <c r="A34" s="2"/>
      <c r="B34" s="4"/>
      <c r="C34" s="2"/>
      <c r="D34" s="2"/>
      <c r="E34" s="50"/>
      <c r="F34" s="50"/>
      <c r="G34" s="50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2"/>
      <c r="S34" s="53"/>
      <c r="T34" s="54"/>
      <c r="U34" s="55"/>
      <c r="V34" s="55"/>
      <c r="W34" s="55"/>
      <c r="X34" s="52"/>
      <c r="Y34" s="52"/>
      <c r="Z34" s="52"/>
      <c r="AA34" s="56" t="str">
        <f>IF(AND(EvalPower(E34:G34)=EvalPower(H34:Q34), EvalPower(P34)=EvalPower(U34:W34)), "", IF(AND(EvalPower(E34:G34)&lt;&gt;EvalPower(H34:Q34), EvalPower(P34)&lt;&gt;EvalPower(U34:W34)), "NG Total and Power total both mistake", IF(EvalPower(E34:G34)&lt;&gt;EvalPower(H34:Q34), "TOTAL ERROR", "POWER CUT ERROR!")))</f>
        <v/>
      </c>
    </row>
    <row r="35" spans="1:27" ht="22.5" customHeight="1" x14ac:dyDescent="0.2">
      <c r="A35" s="2"/>
      <c r="B35" s="4"/>
      <c r="C35" s="2"/>
      <c r="D35" s="2"/>
      <c r="E35" s="50"/>
      <c r="F35" s="50"/>
      <c r="G35" s="50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2"/>
      <c r="S35" s="53"/>
      <c r="T35" s="54"/>
      <c r="U35" s="55"/>
      <c r="V35" s="55"/>
      <c r="W35" s="55"/>
      <c r="X35" s="52"/>
      <c r="Y35" s="52"/>
      <c r="Z35" s="52"/>
      <c r="AA35" s="56" t="str">
        <f t="shared" si="8"/>
        <v/>
      </c>
    </row>
    <row r="36" spans="1:27" ht="22.5" customHeight="1" x14ac:dyDescent="0.2">
      <c r="A36" s="2"/>
      <c r="B36" s="4"/>
      <c r="C36" s="2"/>
      <c r="D36" s="2"/>
      <c r="E36" s="50"/>
      <c r="F36" s="50"/>
      <c r="G36" s="50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2"/>
      <c r="S36" s="53"/>
      <c r="T36" s="54"/>
      <c r="U36" s="55"/>
      <c r="V36" s="55"/>
      <c r="W36" s="55"/>
      <c r="X36" s="52"/>
      <c r="Y36" s="52"/>
      <c r="Z36" s="52"/>
      <c r="AA36" s="56" t="str">
        <f t="shared" si="8"/>
        <v/>
      </c>
    </row>
    <row r="37" spans="1:27" ht="22.5" customHeight="1" x14ac:dyDescent="0.2">
      <c r="A37" s="2"/>
      <c r="B37" s="4"/>
      <c r="C37" s="2"/>
      <c r="D37" s="2"/>
      <c r="E37" s="50"/>
      <c r="F37" s="50"/>
      <c r="G37" s="50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2"/>
      <c r="S37" s="53"/>
      <c r="T37" s="54"/>
      <c r="U37" s="55"/>
      <c r="V37" s="55"/>
      <c r="W37" s="55"/>
      <c r="X37" s="52"/>
      <c r="Y37" s="52"/>
      <c r="Z37" s="52"/>
      <c r="AA37" s="56" t="str">
        <f t="shared" si="8"/>
        <v/>
      </c>
    </row>
    <row r="38" spans="1:27" ht="22.5" customHeight="1" x14ac:dyDescent="0.2">
      <c r="A38" s="2"/>
      <c r="B38" s="4"/>
      <c r="C38" s="2"/>
      <c r="D38" s="2"/>
      <c r="E38" s="50"/>
      <c r="F38" s="50"/>
      <c r="G38" s="50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2"/>
      <c r="S38" s="53"/>
      <c r="T38" s="54"/>
      <c r="U38" s="55"/>
      <c r="V38" s="55"/>
      <c r="W38" s="55"/>
      <c r="X38" s="52"/>
      <c r="Y38" s="52"/>
      <c r="Z38" s="52"/>
      <c r="AA38" s="56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 x14ac:dyDescent="0.2">
      <c r="A39" s="2"/>
      <c r="B39" s="4"/>
      <c r="C39" s="2"/>
      <c r="D39" s="2"/>
      <c r="E39" s="50"/>
      <c r="F39" s="50"/>
      <c r="G39" s="50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2"/>
      <c r="S39" s="53"/>
      <c r="T39" s="54"/>
      <c r="U39" s="55"/>
      <c r="V39" s="55"/>
      <c r="W39" s="55"/>
      <c r="X39" s="52"/>
      <c r="Y39" s="52"/>
      <c r="Z39" s="52"/>
      <c r="AA39" s="56" t="str">
        <f t="shared" si="8"/>
        <v/>
      </c>
    </row>
    <row r="40" spans="1:27" ht="22.5" customHeight="1" x14ac:dyDescent="0.2">
      <c r="A40" s="2"/>
      <c r="B40" s="4"/>
      <c r="C40" s="2"/>
      <c r="D40" s="2"/>
      <c r="E40" s="50"/>
      <c r="F40" s="50"/>
      <c r="G40" s="50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2"/>
      <c r="S40" s="53"/>
      <c r="T40" s="54"/>
      <c r="U40" s="55"/>
      <c r="V40" s="55"/>
      <c r="W40" s="55"/>
      <c r="X40" s="52"/>
      <c r="Y40" s="52"/>
      <c r="Z40" s="52"/>
      <c r="AA40" s="56" t="str">
        <f t="shared" si="8"/>
        <v/>
      </c>
    </row>
    <row r="41" spans="1:27" ht="22.5" customHeight="1" x14ac:dyDescent="0.2">
      <c r="A41" s="2"/>
      <c r="B41" s="4"/>
      <c r="C41" s="2"/>
      <c r="D41" s="2"/>
      <c r="E41" s="50"/>
      <c r="F41" s="50"/>
      <c r="G41" s="50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2"/>
      <c r="S41" s="53"/>
      <c r="T41" s="54"/>
      <c r="U41" s="55"/>
      <c r="V41" s="55"/>
      <c r="W41" s="55"/>
      <c r="X41" s="52"/>
      <c r="Y41" s="52"/>
      <c r="Z41" s="52"/>
      <c r="AA41" s="56" t="str">
        <f>IF(AND(EvalPower(E41:G41)=EvalPower(H41:Q41), EvalPower(P41)=EvalPower(U41:W41)), "", IF(AND(EvalPower(E41:G41)&lt;&gt;EvalPower(H41:Q41), EvalPower(P41)&lt;&gt;EvalPower(U41:W41)), "NG Total and Power total both mistake", IF(EvalPower(E41:G41)&lt;&gt;EvalPower(H41:Q41), "TOTAL ERROR", "POWER CUT ERROR!")))</f>
        <v/>
      </c>
    </row>
    <row r="42" spans="1:27" ht="22.5" customHeight="1" x14ac:dyDescent="0.2">
      <c r="A42" s="2"/>
      <c r="B42" s="4"/>
      <c r="C42" s="2"/>
      <c r="D42" s="2"/>
      <c r="E42" s="50"/>
      <c r="F42" s="50"/>
      <c r="G42" s="50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2"/>
      <c r="S42" s="53"/>
      <c r="T42" s="54"/>
      <c r="U42" s="55"/>
      <c r="V42" s="55"/>
      <c r="W42" s="55"/>
      <c r="X42" s="52"/>
      <c r="Y42" s="52"/>
      <c r="Z42" s="52"/>
      <c r="AA42" s="56" t="str">
        <f t="shared" si="8"/>
        <v/>
      </c>
    </row>
    <row r="43" spans="1:27" ht="22.5" customHeight="1" x14ac:dyDescent="0.2">
      <c r="A43" s="2"/>
      <c r="B43" s="4"/>
      <c r="C43" s="2"/>
      <c r="D43" s="2"/>
      <c r="E43" s="50"/>
      <c r="F43" s="50"/>
      <c r="G43" s="50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2"/>
      <c r="S43" s="53"/>
      <c r="T43" s="54"/>
      <c r="U43" s="55"/>
      <c r="V43" s="55"/>
      <c r="W43" s="55"/>
      <c r="X43" s="52"/>
      <c r="Y43" s="52"/>
      <c r="Z43" s="52"/>
      <c r="AA43" s="56" t="str">
        <f>IF(AND(EvalPower(E43:G43)=EvalPower(H43:Q43), EvalPower(P43)=EvalPower(U43:W43)), "", IF(AND(EvalPower(E43:G43)&lt;&gt;EvalPower(H43:Q43), EvalPower(P43)&lt;&gt;EvalPower(U43:W43)), "NG Total and Power total both mistake", IF(EvalPower(E43:G43)&lt;&gt;EvalPower(H43:Q43), "TOTAL ERROR", "POWER CUT ERROR!")))</f>
        <v/>
      </c>
    </row>
    <row r="44" spans="1:27" ht="22.5" customHeight="1" x14ac:dyDescent="0.2">
      <c r="A44" s="2"/>
      <c r="B44" s="4"/>
      <c r="C44" s="2"/>
      <c r="D44" s="2"/>
      <c r="E44" s="50"/>
      <c r="F44" s="50"/>
      <c r="G44" s="50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2"/>
      <c r="S44" s="53"/>
      <c r="T44" s="54"/>
      <c r="U44" s="55"/>
      <c r="V44" s="55"/>
      <c r="W44" s="55"/>
      <c r="X44" s="52"/>
      <c r="Y44" s="52"/>
      <c r="Z44" s="52"/>
      <c r="AA44" s="56"/>
    </row>
    <row r="45" spans="1:27" ht="22.5" customHeight="1" x14ac:dyDescent="0.2">
      <c r="A45" s="2"/>
      <c r="B45" s="4"/>
      <c r="C45" s="2"/>
      <c r="D45" s="2"/>
      <c r="E45" s="50"/>
      <c r="F45" s="50"/>
      <c r="G45" s="50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2"/>
      <c r="S45" s="53"/>
      <c r="T45" s="54"/>
      <c r="U45" s="55"/>
      <c r="V45" s="55"/>
      <c r="W45" s="55"/>
      <c r="X45" s="52"/>
      <c r="Y45" s="52"/>
      <c r="Z45" s="52"/>
      <c r="AA45" s="56"/>
    </row>
    <row r="46" spans="1:27" ht="22.5" customHeight="1" x14ac:dyDescent="0.2">
      <c r="A46" s="2"/>
      <c r="B46" s="4"/>
      <c r="C46" s="2"/>
      <c r="D46" s="2"/>
      <c r="E46" s="50"/>
      <c r="F46" s="50"/>
      <c r="G46" s="50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2"/>
      <c r="S46" s="53"/>
      <c r="T46" s="54"/>
      <c r="U46" s="55"/>
      <c r="V46" s="55"/>
      <c r="W46" s="55"/>
      <c r="X46" s="52"/>
      <c r="Y46" s="52"/>
      <c r="Z46" s="52"/>
      <c r="AA46" s="56"/>
    </row>
    <row r="47" spans="1:27" ht="22.5" customHeight="1" x14ac:dyDescent="0.2">
      <c r="A47" s="2"/>
      <c r="B47" s="4"/>
      <c r="C47" s="2"/>
      <c r="D47" s="2"/>
      <c r="E47" s="50"/>
      <c r="F47" s="50"/>
      <c r="G47" s="50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2"/>
      <c r="S47" s="53"/>
      <c r="T47" s="54"/>
      <c r="U47" s="55"/>
      <c r="V47" s="55"/>
      <c r="W47" s="55"/>
      <c r="X47" s="52"/>
      <c r="Y47" s="52"/>
      <c r="Z47" s="52"/>
      <c r="AA47" s="56"/>
    </row>
    <row r="48" spans="1:27" ht="22.5" customHeight="1" x14ac:dyDescent="0.2">
      <c r="A48" s="2"/>
      <c r="B48" s="4"/>
      <c r="C48" s="2"/>
      <c r="D48" s="2"/>
      <c r="E48" s="50"/>
      <c r="F48" s="50"/>
      <c r="G48" s="50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2"/>
      <c r="S48" s="53"/>
      <c r="T48" s="54"/>
      <c r="U48" s="55"/>
      <c r="V48" s="55"/>
      <c r="W48" s="55"/>
      <c r="X48" s="52"/>
      <c r="Y48" s="52"/>
      <c r="Z48" s="52"/>
      <c r="AA48" s="56"/>
    </row>
    <row r="49" spans="1:28" ht="22.5" customHeight="1" x14ac:dyDescent="0.2">
      <c r="A49" s="2"/>
      <c r="B49" s="4"/>
      <c r="C49" s="2"/>
      <c r="D49" s="2"/>
      <c r="E49" s="50"/>
      <c r="F49" s="50"/>
      <c r="G49" s="50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2"/>
      <c r="S49" s="53"/>
      <c r="T49" s="54"/>
      <c r="U49" s="55"/>
      <c r="V49" s="55"/>
      <c r="W49" s="55"/>
      <c r="X49" s="52"/>
      <c r="Y49" s="52"/>
      <c r="Z49" s="52"/>
      <c r="AA49" s="56"/>
    </row>
    <row r="50" spans="1:28" ht="22.5" customHeight="1" x14ac:dyDescent="0.2">
      <c r="A50" s="2"/>
      <c r="B50" s="4"/>
      <c r="C50" s="2"/>
      <c r="D50" s="2"/>
      <c r="E50" s="50"/>
      <c r="F50" s="50"/>
      <c r="G50" s="50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2"/>
      <c r="S50" s="53"/>
      <c r="T50" s="54"/>
      <c r="U50" s="55"/>
      <c r="V50" s="55"/>
      <c r="W50" s="55"/>
      <c r="X50" s="52"/>
      <c r="Y50" s="52"/>
      <c r="Z50" s="52"/>
      <c r="AA50" s="56"/>
    </row>
    <row r="51" spans="1:28" ht="22.5" customHeight="1" x14ac:dyDescent="0.2">
      <c r="A51" s="2"/>
      <c r="B51" s="4"/>
      <c r="C51" s="2"/>
      <c r="D51" s="2"/>
      <c r="E51" s="50"/>
      <c r="F51" s="50"/>
      <c r="G51" s="50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2"/>
      <c r="S51" s="53"/>
      <c r="T51" s="54"/>
      <c r="U51" s="55"/>
      <c r="V51" s="55"/>
      <c r="W51" s="55"/>
      <c r="X51" s="52"/>
      <c r="Y51" s="52"/>
      <c r="Z51" s="52"/>
      <c r="AA51" s="56"/>
    </row>
    <row r="52" spans="1:28" ht="22.5" customHeight="1" x14ac:dyDescent="0.2">
      <c r="A52" s="2"/>
      <c r="B52" s="4"/>
      <c r="C52" s="2"/>
      <c r="D52" s="2"/>
      <c r="E52" s="50"/>
      <c r="F52" s="50"/>
      <c r="G52" s="50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2"/>
      <c r="S52" s="53"/>
      <c r="T52" s="54"/>
      <c r="U52" s="55"/>
      <c r="V52" s="55"/>
      <c r="W52" s="55"/>
      <c r="X52" s="52"/>
      <c r="Y52" s="52"/>
      <c r="Z52" s="52"/>
      <c r="AA52" s="56"/>
    </row>
    <row r="53" spans="1:28" ht="22.5" customHeight="1" x14ac:dyDescent="0.2">
      <c r="A53" s="2"/>
      <c r="B53" s="4"/>
      <c r="C53" s="2"/>
      <c r="D53" s="2"/>
      <c r="E53" s="50"/>
      <c r="F53" s="50"/>
      <c r="G53" s="50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2"/>
      <c r="S53" s="53"/>
      <c r="T53" s="54"/>
      <c r="U53" s="55"/>
      <c r="V53" s="55"/>
      <c r="W53" s="55"/>
      <c r="X53" s="52"/>
      <c r="Y53" s="52"/>
      <c r="Z53" s="52"/>
      <c r="AA53" s="56"/>
      <c r="AB53" s="57"/>
    </row>
    <row r="54" spans="1:28" ht="22.5" customHeight="1" x14ac:dyDescent="0.2">
      <c r="A54" s="2"/>
      <c r="B54" s="4"/>
      <c r="C54" s="2"/>
      <c r="D54" s="2"/>
      <c r="E54" s="50"/>
      <c r="F54" s="50"/>
      <c r="G54" s="50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2"/>
      <c r="S54" s="53"/>
      <c r="T54" s="54"/>
      <c r="U54" s="55"/>
      <c r="V54" s="55"/>
      <c r="W54" s="55"/>
      <c r="X54" s="52"/>
      <c r="Y54" s="52"/>
      <c r="Z54" s="52"/>
      <c r="AA54" s="56"/>
      <c r="AB54" s="57"/>
    </row>
    <row r="55" spans="1:28" ht="22.5" customHeight="1" x14ac:dyDescent="0.2">
      <c r="A55" s="2"/>
      <c r="B55" s="4"/>
      <c r="C55" s="2"/>
      <c r="D55" s="2"/>
      <c r="E55" s="50"/>
      <c r="F55" s="50"/>
      <c r="G55" s="50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2"/>
      <c r="S55" s="53"/>
      <c r="T55" s="54"/>
      <c r="U55" s="55"/>
      <c r="V55" s="55"/>
      <c r="W55" s="55"/>
      <c r="X55" s="52"/>
      <c r="Y55" s="52"/>
      <c r="Z55" s="52"/>
      <c r="AA55" s="56"/>
      <c r="AB55" s="57"/>
    </row>
    <row r="56" spans="1:28" ht="22.5" customHeight="1" x14ac:dyDescent="0.2">
      <c r="A56" s="2"/>
      <c r="B56" s="4"/>
      <c r="C56" s="2"/>
      <c r="D56" s="2"/>
      <c r="E56" s="50"/>
      <c r="F56" s="50"/>
      <c r="G56" s="50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2"/>
      <c r="S56" s="53"/>
      <c r="T56" s="54"/>
      <c r="U56" s="55"/>
      <c r="V56" s="55"/>
      <c r="W56" s="55"/>
      <c r="X56" s="52"/>
      <c r="Y56" s="52"/>
      <c r="Z56" s="52"/>
      <c r="AA56" s="56"/>
      <c r="AB56" s="57"/>
    </row>
    <row r="57" spans="1:28" ht="22.5" customHeight="1" x14ac:dyDescent="0.2">
      <c r="A57" s="2"/>
      <c r="B57" s="4"/>
      <c r="C57" s="2"/>
      <c r="D57" s="2"/>
      <c r="E57" s="50"/>
      <c r="F57" s="50"/>
      <c r="G57" s="50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2"/>
      <c r="S57" s="53"/>
      <c r="T57" s="54"/>
      <c r="U57" s="55"/>
      <c r="V57" s="55"/>
      <c r="W57" s="55"/>
      <c r="X57" s="52"/>
      <c r="Y57" s="52"/>
      <c r="Z57" s="52"/>
      <c r="AA57" s="56"/>
      <c r="AB57" s="57"/>
    </row>
    <row r="58" spans="1:28" ht="22.5" customHeight="1" x14ac:dyDescent="0.2">
      <c r="A58" s="2"/>
      <c r="B58" s="4"/>
      <c r="C58" s="2"/>
      <c r="D58" s="2"/>
      <c r="E58" s="50"/>
      <c r="F58" s="50"/>
      <c r="G58" s="50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2"/>
      <c r="S58" s="53"/>
      <c r="T58" s="54"/>
      <c r="U58" s="55"/>
      <c r="V58" s="55"/>
      <c r="W58" s="55"/>
      <c r="X58" s="52"/>
      <c r="Y58" s="52"/>
      <c r="Z58" s="52"/>
      <c r="AA58" s="56"/>
      <c r="AB58" s="57"/>
    </row>
    <row r="59" spans="1:28" ht="22.5" customHeight="1" x14ac:dyDescent="0.2">
      <c r="A59" s="2"/>
      <c r="B59" s="4"/>
      <c r="C59" s="2"/>
      <c r="D59" s="2"/>
      <c r="E59" s="50"/>
      <c r="F59" s="50"/>
      <c r="G59" s="50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2"/>
      <c r="S59" s="53"/>
      <c r="T59" s="54"/>
      <c r="U59" s="55"/>
      <c r="V59" s="55"/>
      <c r="W59" s="55"/>
      <c r="X59" s="52"/>
      <c r="Y59" s="52"/>
      <c r="Z59" s="52"/>
      <c r="AA59" s="56"/>
      <c r="AB59" s="57"/>
    </row>
    <row r="60" spans="1:28" ht="22.5" customHeight="1" x14ac:dyDescent="0.2">
      <c r="A60" s="2"/>
      <c r="B60" s="4"/>
      <c r="C60" s="2"/>
      <c r="D60" s="2"/>
      <c r="E60" s="50"/>
      <c r="F60" s="50"/>
      <c r="G60" s="50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2"/>
      <c r="S60" s="53"/>
      <c r="T60" s="54"/>
      <c r="U60" s="55"/>
      <c r="V60" s="55"/>
      <c r="W60" s="55"/>
      <c r="X60" s="52"/>
      <c r="Y60" s="52"/>
      <c r="Z60" s="52"/>
      <c r="AA60" s="56"/>
      <c r="AB60" s="57"/>
    </row>
    <row r="61" spans="1:28" ht="22.5" customHeight="1" x14ac:dyDescent="0.2">
      <c r="A61" s="2"/>
      <c r="B61" s="4"/>
      <c r="C61" s="2"/>
      <c r="D61" s="2"/>
      <c r="E61" s="50"/>
      <c r="F61" s="50"/>
      <c r="G61" s="50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2"/>
      <c r="S61" s="53"/>
      <c r="T61" s="54"/>
      <c r="U61" s="55"/>
      <c r="V61" s="55"/>
      <c r="W61" s="55"/>
      <c r="X61" s="52"/>
      <c r="Y61" s="52"/>
      <c r="Z61" s="52"/>
      <c r="AA61" s="56"/>
      <c r="AB61" s="57"/>
    </row>
    <row r="62" spans="1:28" ht="22.5" customHeight="1" x14ac:dyDescent="0.2">
      <c r="A62" s="2"/>
      <c r="B62" s="4"/>
      <c r="C62" s="2"/>
      <c r="D62" s="2"/>
      <c r="E62" s="50"/>
      <c r="F62" s="50"/>
      <c r="G62" s="50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2"/>
      <c r="S62" s="53"/>
      <c r="T62" s="54"/>
      <c r="U62" s="55"/>
      <c r="V62" s="55"/>
      <c r="W62" s="55"/>
      <c r="X62" s="52"/>
      <c r="Y62" s="52"/>
      <c r="Z62" s="52"/>
      <c r="AA62" s="56"/>
      <c r="AB62" s="57"/>
    </row>
    <row r="63" spans="1:28" ht="22.5" customHeight="1" x14ac:dyDescent="0.2">
      <c r="A63" s="2"/>
      <c r="B63" s="4"/>
      <c r="C63" s="2"/>
      <c r="D63" s="2"/>
      <c r="E63" s="50"/>
      <c r="F63" s="50"/>
      <c r="G63" s="50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2"/>
      <c r="S63" s="53"/>
      <c r="T63" s="54"/>
      <c r="U63" s="55"/>
      <c r="V63" s="55"/>
      <c r="W63" s="55"/>
      <c r="X63" s="52"/>
      <c r="Y63" s="52"/>
      <c r="Z63" s="52"/>
      <c r="AA63" s="56"/>
      <c r="AB63" s="57"/>
    </row>
    <row r="64" spans="1:28" ht="22.5" customHeight="1" x14ac:dyDescent="0.2">
      <c r="A64" s="2"/>
      <c r="B64" s="4"/>
      <c r="C64" s="2"/>
      <c r="D64" s="2"/>
      <c r="E64" s="50"/>
      <c r="F64" s="50"/>
      <c r="G64" s="50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2"/>
      <c r="S64" s="53"/>
      <c r="T64" s="54"/>
      <c r="U64" s="55"/>
      <c r="V64" s="55"/>
      <c r="W64" s="55"/>
      <c r="X64" s="52"/>
      <c r="Y64" s="52"/>
      <c r="Z64" s="52"/>
      <c r="AA64" s="56"/>
      <c r="AB64" s="57"/>
    </row>
    <row r="65" spans="1:28" ht="22.5" customHeight="1" x14ac:dyDescent="0.2">
      <c r="A65" s="2"/>
      <c r="B65" s="4"/>
      <c r="C65" s="2"/>
      <c r="D65" s="2"/>
      <c r="E65" s="50"/>
      <c r="F65" s="50"/>
      <c r="G65" s="50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2"/>
      <c r="S65" s="53"/>
      <c r="T65" s="54"/>
      <c r="U65" s="55"/>
      <c r="V65" s="55"/>
      <c r="W65" s="55"/>
      <c r="X65" s="52"/>
      <c r="Y65" s="52"/>
      <c r="Z65" s="52"/>
      <c r="AA65" s="56"/>
      <c r="AB65" s="57"/>
    </row>
    <row r="66" spans="1:28" ht="22.5" customHeight="1" x14ac:dyDescent="0.2">
      <c r="A66" s="2"/>
      <c r="B66" s="4"/>
      <c r="C66" s="2"/>
      <c r="D66" s="2"/>
      <c r="E66" s="50"/>
      <c r="F66" s="50"/>
      <c r="G66" s="50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2"/>
      <c r="S66" s="53"/>
      <c r="T66" s="54"/>
      <c r="U66" s="55"/>
      <c r="V66" s="55"/>
      <c r="W66" s="55"/>
      <c r="X66" s="52"/>
      <c r="Y66" s="52"/>
      <c r="Z66" s="52"/>
      <c r="AA66" s="56"/>
    </row>
    <row r="67" spans="1:28" ht="22.5" customHeight="1" x14ac:dyDescent="0.2">
      <c r="A67" s="2"/>
      <c r="B67" s="4"/>
      <c r="C67" s="2"/>
      <c r="D67" s="2"/>
      <c r="E67" s="50"/>
      <c r="F67" s="50"/>
      <c r="G67" s="50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2"/>
      <c r="S67" s="53"/>
      <c r="T67" s="54"/>
      <c r="U67" s="55"/>
      <c r="V67" s="55"/>
      <c r="W67" s="55"/>
      <c r="X67" s="52"/>
      <c r="Y67" s="52"/>
      <c r="Z67" s="52"/>
      <c r="AA67" s="56"/>
    </row>
    <row r="68" spans="1:28" ht="22.5" customHeight="1" x14ac:dyDescent="0.2">
      <c r="A68" s="2"/>
      <c r="B68" s="4"/>
      <c r="C68" s="2"/>
      <c r="D68" s="2"/>
      <c r="E68" s="50"/>
      <c r="F68" s="50"/>
      <c r="G68" s="50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2"/>
      <c r="S68" s="53"/>
      <c r="T68" s="54"/>
      <c r="U68" s="55"/>
      <c r="V68" s="55"/>
      <c r="W68" s="55"/>
      <c r="X68" s="52"/>
      <c r="Y68" s="52"/>
      <c r="Z68" s="52"/>
      <c r="AA68" s="56"/>
    </row>
    <row r="69" spans="1:28" ht="22.5" customHeight="1" x14ac:dyDescent="0.2">
      <c r="A69" s="2"/>
      <c r="B69" s="4"/>
      <c r="C69" s="2"/>
      <c r="D69" s="2"/>
      <c r="E69" s="50"/>
      <c r="F69" s="50"/>
      <c r="G69" s="50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2"/>
      <c r="S69" s="53"/>
      <c r="T69" s="54"/>
      <c r="U69" s="55"/>
      <c r="V69" s="55"/>
      <c r="W69" s="55"/>
      <c r="X69" s="52"/>
      <c r="Y69" s="52"/>
      <c r="Z69" s="52"/>
      <c r="AA69" s="56"/>
    </row>
    <row r="70" spans="1:28" ht="22.5" customHeight="1" x14ac:dyDescent="0.2">
      <c r="A70" s="2"/>
      <c r="B70" s="4"/>
      <c r="C70" s="2"/>
      <c r="D70" s="2"/>
      <c r="E70" s="50"/>
      <c r="F70" s="50"/>
      <c r="G70" s="50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2"/>
      <c r="S70" s="53"/>
      <c r="T70" s="54"/>
      <c r="U70" s="55"/>
      <c r="V70" s="55"/>
      <c r="W70" s="55"/>
      <c r="X70" s="52"/>
      <c r="Y70" s="52"/>
      <c r="Z70" s="52"/>
      <c r="AA70" s="56"/>
    </row>
    <row r="71" spans="1:28" ht="22.5" customHeight="1" x14ac:dyDescent="0.2">
      <c r="A71" s="2"/>
      <c r="B71" s="4"/>
      <c r="C71" s="2"/>
      <c r="D71" s="2"/>
      <c r="E71" s="50"/>
      <c r="F71" s="50"/>
      <c r="G71" s="50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2"/>
      <c r="S71" s="53"/>
      <c r="T71" s="54"/>
      <c r="U71" s="55"/>
      <c r="V71" s="55"/>
      <c r="W71" s="55"/>
      <c r="X71" s="52"/>
      <c r="Y71" s="52"/>
      <c r="Z71" s="52"/>
      <c r="AA71" s="56"/>
    </row>
    <row r="72" spans="1:28" ht="22.5" customHeight="1" x14ac:dyDescent="0.2">
      <c r="A72" s="2"/>
      <c r="B72" s="4"/>
      <c r="C72" s="2"/>
      <c r="D72" s="2"/>
      <c r="E72" s="50"/>
      <c r="F72" s="50"/>
      <c r="G72" s="50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2"/>
      <c r="S72" s="53"/>
      <c r="T72" s="54"/>
      <c r="U72" s="55"/>
      <c r="V72" s="55"/>
      <c r="W72" s="55"/>
      <c r="X72" s="52"/>
      <c r="Y72" s="52"/>
      <c r="Z72" s="52"/>
      <c r="AA72" s="56" t="str">
        <f t="shared" ref="AA72:AA78" si="9"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</row>
    <row r="73" spans="1:28" ht="22.5" customHeight="1" x14ac:dyDescent="0.2">
      <c r="A73" s="2"/>
      <c r="B73" s="4"/>
      <c r="C73" s="2"/>
      <c r="D73" s="2"/>
      <c r="E73" s="50"/>
      <c r="F73" s="50"/>
      <c r="G73" s="50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2"/>
      <c r="S73" s="53"/>
      <c r="T73" s="54"/>
      <c r="U73" s="55"/>
      <c r="V73" s="55"/>
      <c r="W73" s="55"/>
      <c r="X73" s="52"/>
      <c r="Y73" s="52"/>
      <c r="Z73" s="52"/>
      <c r="AA73" s="56" t="str">
        <f t="shared" si="9"/>
        <v/>
      </c>
    </row>
    <row r="74" spans="1:28" ht="22.5" customHeight="1" x14ac:dyDescent="0.2">
      <c r="A74" s="2"/>
      <c r="B74" s="4"/>
      <c r="C74" s="2"/>
      <c r="D74" s="2"/>
      <c r="E74" s="50"/>
      <c r="F74" s="50"/>
      <c r="G74" s="50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2"/>
      <c r="S74" s="53"/>
      <c r="T74" s="54"/>
      <c r="U74" s="55"/>
      <c r="V74" s="55"/>
      <c r="W74" s="55"/>
      <c r="X74" s="52"/>
      <c r="Y74" s="52"/>
      <c r="Z74" s="52"/>
      <c r="AA74" s="56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</row>
    <row r="75" spans="1:28" ht="22.5" customHeight="1" x14ac:dyDescent="0.2">
      <c r="A75" s="2"/>
      <c r="B75" s="4"/>
      <c r="C75" s="2"/>
      <c r="D75" s="2"/>
      <c r="E75" s="50"/>
      <c r="F75" s="50"/>
      <c r="G75" s="50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2"/>
      <c r="S75" s="53"/>
      <c r="T75" s="54"/>
      <c r="U75" s="55"/>
      <c r="V75" s="55"/>
      <c r="W75" s="55"/>
      <c r="X75" s="52"/>
      <c r="Y75" s="52"/>
      <c r="Z75" s="52"/>
      <c r="AA75" s="56" t="str">
        <f t="shared" si="9"/>
        <v/>
      </c>
    </row>
    <row r="76" spans="1:28" ht="22.5" customHeight="1" x14ac:dyDescent="0.2">
      <c r="A76" s="2"/>
      <c r="B76" s="4"/>
      <c r="C76" s="2"/>
      <c r="D76" s="2"/>
      <c r="E76" s="50"/>
      <c r="F76" s="50"/>
      <c r="G76" s="50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2"/>
      <c r="S76" s="53"/>
      <c r="T76" s="54"/>
      <c r="U76" s="55"/>
      <c r="V76" s="55"/>
      <c r="W76" s="55"/>
      <c r="X76" s="52"/>
      <c r="Y76" s="52"/>
      <c r="Z76" s="52"/>
      <c r="AA76" s="56" t="str">
        <f t="shared" si="9"/>
        <v/>
      </c>
    </row>
    <row r="77" spans="1:28" ht="22.5" customHeight="1" x14ac:dyDescent="0.2">
      <c r="A77" s="2"/>
      <c r="B77" s="4"/>
      <c r="C77" s="2"/>
      <c r="D77" s="2"/>
      <c r="E77" s="50"/>
      <c r="F77" s="50"/>
      <c r="G77" s="50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2"/>
      <c r="S77" s="53"/>
      <c r="T77" s="54"/>
      <c r="U77" s="55"/>
      <c r="V77" s="55"/>
      <c r="W77" s="55"/>
      <c r="X77" s="52"/>
      <c r="Y77" s="52"/>
      <c r="Z77" s="52"/>
      <c r="AA77" s="56" t="str">
        <f t="shared" si="9"/>
        <v/>
      </c>
    </row>
    <row r="78" spans="1:28" ht="22.5" customHeight="1" x14ac:dyDescent="0.2">
      <c r="A78" s="2"/>
      <c r="B78" s="4"/>
      <c r="C78" s="2"/>
      <c r="D78" s="2"/>
      <c r="E78" s="50"/>
      <c r="F78" s="50"/>
      <c r="G78" s="50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2"/>
      <c r="S78" s="53"/>
      <c r="T78" s="54"/>
      <c r="U78" s="55"/>
      <c r="V78" s="55"/>
      <c r="W78" s="55"/>
      <c r="X78" s="52"/>
      <c r="Y78" s="52"/>
      <c r="Z78" s="52"/>
      <c r="AA78" s="56" t="str">
        <f t="shared" si="9"/>
        <v/>
      </c>
    </row>
    <row r="79" spans="1:28" ht="22.5" customHeight="1" x14ac:dyDescent="0.2">
      <c r="A79" s="2"/>
      <c r="B79" s="4"/>
      <c r="C79" s="2"/>
      <c r="D79" s="2"/>
      <c r="E79" s="50"/>
      <c r="F79" s="50"/>
      <c r="G79" s="50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2"/>
      <c r="S79" s="53"/>
      <c r="T79" s="54"/>
      <c r="U79" s="55"/>
      <c r="V79" s="55"/>
      <c r="W79" s="55"/>
      <c r="X79" s="52"/>
      <c r="Y79" s="52"/>
      <c r="Z79" s="52"/>
      <c r="AA79" s="56" t="str">
        <f t="shared" ref="AA79" si="10">IF(AND(EvalPower(E79:G79)=EvalPower(H79:Q79), EvalPower(P79)=EvalPower(U79:W79)), "", IF(AND(EvalPower(E79:G79)&lt;&gt;EvalPower(H79:Q79), EvalPower(P79)&lt;&gt;EvalPower(U79:W79)), "NG Total and Power total both mistake", IF(EvalPower(E79:G79)&lt;&gt;EvalPower(H79:Q79), "TOTAL ERROR", "POWER CUT ERROR!")))</f>
        <v/>
      </c>
    </row>
    <row r="80" spans="1:28" ht="22.5" customHeight="1" x14ac:dyDescent="0.2">
      <c r="A80" s="2"/>
      <c r="B80" s="4"/>
      <c r="C80" s="2"/>
      <c r="D80" s="2"/>
      <c r="E80" s="50"/>
      <c r="F80" s="50"/>
      <c r="G80" s="50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2"/>
      <c r="S80" s="53"/>
      <c r="T80" s="54"/>
      <c r="U80" s="55"/>
      <c r="V80" s="55"/>
      <c r="W80" s="55"/>
      <c r="X80" s="52"/>
      <c r="Y80" s="52"/>
      <c r="Z80" s="52"/>
      <c r="AA80" s="56" t="str">
        <f t="shared" ref="AA80:AA88" si="11"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7" ht="22.5" customHeight="1" x14ac:dyDescent="0.2">
      <c r="A81" s="2"/>
      <c r="B81" s="4"/>
      <c r="C81" s="2"/>
      <c r="D81" s="2"/>
      <c r="E81" s="50"/>
      <c r="F81" s="50"/>
      <c r="G81" s="50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2"/>
      <c r="S81" s="53"/>
      <c r="T81" s="54"/>
      <c r="U81" s="55"/>
      <c r="V81" s="55"/>
      <c r="W81" s="55"/>
      <c r="X81" s="52"/>
      <c r="Y81" s="52"/>
      <c r="Z81" s="52"/>
      <c r="AA81" s="56" t="str">
        <f t="shared" si="11"/>
        <v/>
      </c>
    </row>
    <row r="82" spans="1:27" ht="22.5" customHeight="1" x14ac:dyDescent="0.2">
      <c r="A82" s="2"/>
      <c r="B82" s="4"/>
      <c r="C82" s="2"/>
      <c r="D82" s="2"/>
      <c r="E82" s="50"/>
      <c r="F82" s="50"/>
      <c r="G82" s="50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2"/>
      <c r="S82" s="53"/>
      <c r="T82" s="54"/>
      <c r="U82" s="55"/>
      <c r="V82" s="55"/>
      <c r="W82" s="55"/>
      <c r="X82" s="52"/>
      <c r="Y82" s="52"/>
      <c r="Z82" s="52"/>
      <c r="AA82" s="56" t="str">
        <f>IF(AND(EvalPower(E82:G82)=EvalPower(H82:Q82), EvalPower(P82)=EvalPower(U82:W82)), "", IF(AND(EvalPower(E82:G82)&lt;&gt;EvalPower(H82:Q82), EvalPower(P82)&lt;&gt;EvalPower(U82:W82)), "NG Total and Power total both mistake", IF(EvalPower(E82:G82)&lt;&gt;EvalPower(H82:Q82), "TOTAL ERROR", "POWER CUT ERROR!")))</f>
        <v/>
      </c>
    </row>
    <row r="83" spans="1:27" ht="22.5" customHeight="1" x14ac:dyDescent="0.2">
      <c r="A83" s="2"/>
      <c r="B83" s="4"/>
      <c r="C83" s="2"/>
      <c r="D83" s="2"/>
      <c r="E83" s="50"/>
      <c r="F83" s="50"/>
      <c r="G83" s="50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2"/>
      <c r="S83" s="53"/>
      <c r="T83" s="54"/>
      <c r="U83" s="55"/>
      <c r="V83" s="55"/>
      <c r="W83" s="55"/>
      <c r="X83" s="52"/>
      <c r="Y83" s="52"/>
      <c r="Z83" s="52"/>
      <c r="AA83" s="56" t="str">
        <f t="shared" si="11"/>
        <v/>
      </c>
    </row>
    <row r="84" spans="1:27" ht="22.5" customHeight="1" x14ac:dyDescent="0.2">
      <c r="A84" s="2"/>
      <c r="B84" s="4"/>
      <c r="C84" s="2"/>
      <c r="D84" s="2"/>
      <c r="E84" s="50"/>
      <c r="F84" s="50"/>
      <c r="G84" s="50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2"/>
      <c r="S84" s="53"/>
      <c r="T84" s="54"/>
      <c r="U84" s="55"/>
      <c r="V84" s="55"/>
      <c r="W84" s="55"/>
      <c r="X84" s="52"/>
      <c r="Y84" s="52"/>
      <c r="Z84" s="52"/>
      <c r="AA84" s="56" t="str">
        <f t="shared" si="11"/>
        <v/>
      </c>
    </row>
    <row r="85" spans="1:27" ht="22.5" customHeight="1" x14ac:dyDescent="0.2">
      <c r="A85" s="2"/>
      <c r="B85" s="4"/>
      <c r="C85" s="2"/>
      <c r="D85" s="2"/>
      <c r="E85" s="50"/>
      <c r="F85" s="50"/>
      <c r="G85" s="50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2"/>
      <c r="S85" s="53"/>
      <c r="T85" s="54"/>
      <c r="U85" s="55"/>
      <c r="V85" s="55"/>
      <c r="W85" s="55"/>
      <c r="X85" s="52"/>
      <c r="Y85" s="52"/>
      <c r="Z85" s="52"/>
      <c r="AA85" s="56" t="str">
        <f t="shared" si="11"/>
        <v/>
      </c>
    </row>
    <row r="86" spans="1:27" ht="22.5" customHeight="1" x14ac:dyDescent="0.2">
      <c r="A86" s="2"/>
      <c r="B86" s="4"/>
      <c r="C86" s="2"/>
      <c r="D86" s="2"/>
      <c r="E86" s="50"/>
      <c r="F86" s="50"/>
      <c r="G86" s="50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2"/>
      <c r="S86" s="53"/>
      <c r="T86" s="54"/>
      <c r="U86" s="55"/>
      <c r="V86" s="55"/>
      <c r="W86" s="55"/>
      <c r="X86" s="52"/>
      <c r="Y86" s="52"/>
      <c r="Z86" s="52"/>
      <c r="AA86" s="56" t="str">
        <f t="shared" si="11"/>
        <v/>
      </c>
    </row>
    <row r="87" spans="1:27" ht="22.5" customHeight="1" x14ac:dyDescent="0.2">
      <c r="A87" s="2"/>
      <c r="B87" s="4"/>
      <c r="C87" s="2"/>
      <c r="D87" s="2"/>
      <c r="E87" s="50"/>
      <c r="F87" s="50"/>
      <c r="G87" s="50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2"/>
      <c r="S87" s="53"/>
      <c r="T87" s="54"/>
      <c r="U87" s="55"/>
      <c r="V87" s="55"/>
      <c r="W87" s="55"/>
      <c r="X87" s="52"/>
      <c r="Y87" s="52"/>
      <c r="Z87" s="52"/>
      <c r="AA87" s="56" t="str">
        <f t="shared" si="11"/>
        <v/>
      </c>
    </row>
    <row r="88" spans="1:27" ht="22.5" customHeight="1" x14ac:dyDescent="0.2">
      <c r="A88" s="2"/>
      <c r="B88" s="4"/>
      <c r="C88" s="2"/>
      <c r="D88" s="2"/>
      <c r="E88" s="50"/>
      <c r="F88" s="50"/>
      <c r="G88" s="50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2"/>
      <c r="S88" s="53"/>
      <c r="T88" s="54"/>
      <c r="U88" s="55"/>
      <c r="V88" s="55"/>
      <c r="W88" s="55"/>
      <c r="X88" s="52"/>
      <c r="Y88" s="52"/>
      <c r="Z88" s="52"/>
      <c r="AA88" s="56" t="str">
        <f t="shared" si="11"/>
        <v/>
      </c>
    </row>
    <row r="89" spans="1:27" s="59" customFormat="1" ht="22.5" customHeight="1" x14ac:dyDescent="0.25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</row>
    <row r="90" spans="1:27" s="59" customFormat="1" ht="22.5" customHeight="1" x14ac:dyDescent="0.25">
      <c r="B90" s="60"/>
      <c r="C90" s="60"/>
      <c r="D90" s="60"/>
      <c r="E90" s="60"/>
      <c r="F90" s="60"/>
      <c r="G90" s="60"/>
      <c r="H90" s="61"/>
      <c r="I90" s="62"/>
      <c r="J90" s="62"/>
      <c r="K90" s="62"/>
      <c r="L90" s="62"/>
      <c r="M90" s="62"/>
      <c r="N90" s="62"/>
      <c r="O90" s="62"/>
      <c r="P90" s="62"/>
      <c r="Q90" s="62"/>
      <c r="R90" s="63"/>
      <c r="S90" s="60"/>
      <c r="T90" s="63"/>
      <c r="U90" s="60"/>
      <c r="V90" s="60"/>
      <c r="W90" s="60"/>
      <c r="X90" s="60"/>
      <c r="Y90" s="60"/>
      <c r="Z90" s="60"/>
      <c r="AA90" s="63"/>
    </row>
    <row r="91" spans="1:27" s="59" customFormat="1" ht="22.5" customHeight="1" x14ac:dyDescent="0.25">
      <c r="B91" s="60"/>
      <c r="C91" s="60"/>
      <c r="D91" s="60"/>
      <c r="E91" s="60"/>
      <c r="F91" s="60"/>
      <c r="G91" s="60"/>
      <c r="H91" s="61"/>
      <c r="I91" s="62"/>
      <c r="J91" s="62"/>
      <c r="K91" s="62"/>
      <c r="L91" s="62"/>
      <c r="M91" s="62"/>
      <c r="N91" s="62"/>
      <c r="O91" s="62"/>
      <c r="P91" s="62"/>
      <c r="Q91" s="62"/>
      <c r="R91" s="63"/>
      <c r="S91" s="60"/>
      <c r="T91" s="63"/>
      <c r="U91" s="60"/>
      <c r="V91" s="60"/>
      <c r="W91" s="60"/>
      <c r="X91" s="60"/>
      <c r="Y91" s="60"/>
      <c r="Z91" s="60"/>
      <c r="AA91" s="63"/>
    </row>
    <row r="92" spans="1:27" s="59" customFormat="1" ht="22.5" customHeight="1" x14ac:dyDescent="0.25">
      <c r="B92" s="60"/>
      <c r="C92" s="60"/>
      <c r="D92" s="60"/>
      <c r="E92" s="60"/>
      <c r="F92" s="60"/>
      <c r="G92" s="60"/>
      <c r="H92" s="61"/>
      <c r="I92" s="62"/>
      <c r="J92" s="62"/>
      <c r="K92" s="62"/>
      <c r="L92" s="62"/>
      <c r="M92" s="62"/>
      <c r="N92" s="62"/>
      <c r="O92" s="62"/>
      <c r="P92" s="62"/>
      <c r="Q92" s="62"/>
      <c r="R92" s="63"/>
      <c r="S92" s="60"/>
      <c r="T92" s="63"/>
      <c r="U92" s="60"/>
      <c r="V92" s="60"/>
      <c r="W92" s="60"/>
      <c r="X92" s="60"/>
      <c r="Y92" s="60"/>
      <c r="Z92" s="60"/>
      <c r="AA92" s="63"/>
    </row>
    <row r="93" spans="1:27" s="59" customFormat="1" ht="22.5" customHeight="1" x14ac:dyDescent="0.25">
      <c r="B93" s="60"/>
      <c r="C93" s="60"/>
      <c r="D93" s="60"/>
      <c r="E93" s="60"/>
      <c r="F93" s="60"/>
      <c r="G93" s="60"/>
      <c r="H93" s="61"/>
      <c r="I93" s="62"/>
      <c r="J93" s="62"/>
      <c r="K93" s="62"/>
      <c r="L93" s="62"/>
      <c r="M93" s="62"/>
      <c r="N93" s="62"/>
      <c r="O93" s="62"/>
      <c r="P93" s="62"/>
      <c r="Q93" s="62"/>
      <c r="R93" s="63"/>
      <c r="S93" s="60"/>
      <c r="T93" s="63"/>
      <c r="U93" s="60"/>
      <c r="V93" s="60"/>
      <c r="W93" s="60"/>
      <c r="X93" s="60"/>
      <c r="Y93" s="60"/>
      <c r="Z93" s="60"/>
      <c r="AA93" s="63"/>
    </row>
    <row r="94" spans="1:27" s="59" customFormat="1" ht="22.5" customHeight="1" x14ac:dyDescent="0.25">
      <c r="B94" s="60"/>
      <c r="C94" s="60"/>
      <c r="D94" s="60"/>
      <c r="E94" s="60"/>
      <c r="F94" s="60"/>
      <c r="G94" s="60"/>
      <c r="H94" s="61"/>
      <c r="I94" s="62"/>
      <c r="J94" s="62"/>
      <c r="K94" s="62"/>
      <c r="L94" s="62"/>
      <c r="M94" s="62"/>
      <c r="N94" s="62"/>
      <c r="O94" s="62"/>
      <c r="P94" s="62"/>
      <c r="Q94" s="62"/>
      <c r="R94" s="63"/>
      <c r="S94" s="60"/>
      <c r="T94" s="63"/>
      <c r="U94" s="60"/>
      <c r="V94" s="60"/>
      <c r="W94" s="60"/>
      <c r="X94" s="60"/>
      <c r="Y94" s="60"/>
      <c r="Z94" s="60"/>
      <c r="AA94" s="63"/>
    </row>
    <row r="95" spans="1:27" s="59" customFormat="1" ht="22.5" customHeight="1" x14ac:dyDescent="0.25">
      <c r="B95" s="60"/>
      <c r="C95" s="60"/>
      <c r="D95" s="60"/>
      <c r="E95" s="60"/>
      <c r="F95" s="60"/>
      <c r="G95" s="60"/>
      <c r="H95" s="61"/>
      <c r="I95" s="62"/>
      <c r="J95" s="62"/>
      <c r="K95" s="62"/>
      <c r="L95" s="62"/>
      <c r="M95" s="62"/>
      <c r="N95" s="62"/>
      <c r="O95" s="62"/>
      <c r="P95" s="62"/>
      <c r="Q95" s="62"/>
      <c r="R95" s="63"/>
      <c r="S95" s="60"/>
      <c r="T95" s="63"/>
      <c r="U95" s="60"/>
      <c r="V95" s="60"/>
      <c r="W95" s="60"/>
      <c r="X95" s="60"/>
      <c r="Y95" s="60"/>
      <c r="Z95" s="60"/>
      <c r="AA95" s="63"/>
    </row>
    <row r="96" spans="1:27" s="59" customFormat="1" ht="22.5" customHeight="1" x14ac:dyDescent="0.25">
      <c r="B96" s="60"/>
      <c r="C96" s="60"/>
      <c r="D96" s="60"/>
      <c r="E96" s="60"/>
      <c r="F96" s="60"/>
      <c r="G96" s="60"/>
      <c r="H96" s="61"/>
      <c r="I96" s="62"/>
      <c r="J96" s="62"/>
      <c r="K96" s="62"/>
      <c r="L96" s="62"/>
      <c r="M96" s="62"/>
      <c r="N96" s="62"/>
      <c r="O96" s="62"/>
      <c r="P96" s="62"/>
      <c r="Q96" s="62"/>
      <c r="R96" s="63"/>
      <c r="S96" s="60"/>
      <c r="T96" s="63"/>
      <c r="U96" s="60"/>
      <c r="V96" s="60"/>
      <c r="W96" s="60"/>
      <c r="X96" s="60"/>
      <c r="Y96" s="60"/>
      <c r="Z96" s="60"/>
      <c r="AA96" s="63"/>
    </row>
    <row r="97" spans="2:27" s="59" customFormat="1" ht="22.5" customHeight="1" x14ac:dyDescent="0.25">
      <c r="B97" s="60"/>
      <c r="C97" s="60"/>
      <c r="D97" s="60"/>
      <c r="E97" s="60"/>
      <c r="F97" s="60"/>
      <c r="G97" s="60"/>
      <c r="H97" s="61"/>
      <c r="I97" s="62"/>
      <c r="J97" s="62"/>
      <c r="K97" s="62"/>
      <c r="L97" s="62"/>
      <c r="M97" s="62"/>
      <c r="N97" s="62"/>
      <c r="O97" s="62"/>
      <c r="P97" s="62"/>
      <c r="Q97" s="62"/>
      <c r="R97" s="63"/>
      <c r="S97" s="60"/>
      <c r="T97" s="63"/>
      <c r="U97" s="60"/>
      <c r="V97" s="60"/>
      <c r="W97" s="60"/>
      <c r="X97" s="60"/>
      <c r="Y97" s="60"/>
      <c r="Z97" s="60"/>
      <c r="AA97" s="63"/>
    </row>
    <row r="98" spans="2:27" s="59" customFormat="1" ht="22.5" customHeight="1" x14ac:dyDescent="0.25">
      <c r="B98" s="60"/>
      <c r="C98" s="60"/>
      <c r="D98" s="60"/>
      <c r="E98" s="60"/>
      <c r="F98" s="60"/>
      <c r="G98" s="60"/>
      <c r="H98" s="61"/>
      <c r="I98" s="62"/>
      <c r="J98" s="62"/>
      <c r="K98" s="62"/>
      <c r="L98" s="62"/>
      <c r="M98" s="62"/>
      <c r="N98" s="62"/>
      <c r="O98" s="62"/>
      <c r="P98" s="62"/>
      <c r="Q98" s="62"/>
      <c r="R98" s="63"/>
      <c r="S98" s="60"/>
      <c r="T98" s="63"/>
      <c r="U98" s="60"/>
      <c r="V98" s="60"/>
      <c r="W98" s="60"/>
      <c r="X98" s="60"/>
      <c r="Y98" s="60"/>
      <c r="Z98" s="60"/>
      <c r="AA98" s="63"/>
    </row>
    <row r="99" spans="2:27" s="59" customFormat="1" ht="22.5" customHeight="1" x14ac:dyDescent="0.25">
      <c r="B99" s="60"/>
      <c r="C99" s="60"/>
      <c r="D99" s="60"/>
      <c r="E99" s="60"/>
      <c r="F99" s="60"/>
      <c r="G99" s="60"/>
      <c r="H99" s="61"/>
      <c r="I99" s="62"/>
      <c r="J99" s="62"/>
      <c r="K99" s="62"/>
      <c r="L99" s="62"/>
      <c r="M99" s="62"/>
      <c r="N99" s="62"/>
      <c r="O99" s="62"/>
      <c r="P99" s="62"/>
      <c r="Q99" s="62"/>
      <c r="R99" s="63"/>
      <c r="S99" s="60"/>
      <c r="T99" s="63"/>
      <c r="U99" s="60"/>
      <c r="V99" s="60"/>
      <c r="W99" s="60"/>
      <c r="X99" s="60"/>
      <c r="Y99" s="60"/>
      <c r="Z99" s="60"/>
      <c r="AA99" s="63"/>
    </row>
    <row r="100" spans="2:27" s="59" customFormat="1" ht="22.5" customHeight="1" x14ac:dyDescent="0.25">
      <c r="B100" s="60"/>
      <c r="C100" s="60"/>
      <c r="D100" s="60"/>
      <c r="E100" s="60"/>
      <c r="F100" s="60"/>
      <c r="G100" s="60"/>
      <c r="H100" s="61"/>
      <c r="I100" s="62"/>
      <c r="J100" s="62"/>
      <c r="K100" s="62"/>
      <c r="L100" s="62"/>
      <c r="M100" s="62"/>
      <c r="N100" s="62"/>
      <c r="O100" s="62"/>
      <c r="P100" s="62"/>
      <c r="Q100" s="62"/>
      <c r="R100" s="63"/>
      <c r="S100" s="60"/>
      <c r="T100" s="63"/>
      <c r="U100" s="60"/>
      <c r="V100" s="60"/>
      <c r="W100" s="60"/>
      <c r="X100" s="60"/>
      <c r="Y100" s="60"/>
      <c r="Z100" s="60"/>
      <c r="AA100" s="63"/>
    </row>
    <row r="101" spans="2:27" s="59" customFormat="1" ht="22.5" customHeight="1" x14ac:dyDescent="0.25">
      <c r="B101" s="60"/>
      <c r="C101" s="60"/>
      <c r="D101" s="60"/>
      <c r="E101" s="60"/>
      <c r="F101" s="60"/>
      <c r="G101" s="60"/>
      <c r="H101" s="61"/>
      <c r="I101" s="62"/>
      <c r="J101" s="62"/>
      <c r="K101" s="62"/>
      <c r="L101" s="62"/>
      <c r="M101" s="62"/>
      <c r="N101" s="62"/>
      <c r="O101" s="62"/>
      <c r="P101" s="62"/>
      <c r="Q101" s="62"/>
      <c r="R101" s="63"/>
      <c r="S101" s="60"/>
      <c r="T101" s="63"/>
      <c r="U101" s="60"/>
      <c r="V101" s="60"/>
      <c r="W101" s="60"/>
      <c r="X101" s="60"/>
      <c r="Y101" s="60"/>
      <c r="Z101" s="60"/>
      <c r="AA101" s="63"/>
    </row>
    <row r="102" spans="2:27" s="59" customFormat="1" ht="22.5" customHeight="1" x14ac:dyDescent="0.25">
      <c r="B102" s="60"/>
      <c r="C102" s="60"/>
      <c r="D102" s="60"/>
      <c r="E102" s="60"/>
      <c r="F102" s="60"/>
      <c r="G102" s="60"/>
      <c r="H102" s="61"/>
      <c r="I102" s="62"/>
      <c r="J102" s="62"/>
      <c r="K102" s="62"/>
      <c r="L102" s="62"/>
      <c r="M102" s="62"/>
      <c r="N102" s="62"/>
      <c r="O102" s="62"/>
      <c r="P102" s="62"/>
      <c r="Q102" s="62"/>
      <c r="R102" s="63"/>
      <c r="S102" s="60"/>
      <c r="T102" s="63"/>
      <c r="U102" s="60"/>
      <c r="V102" s="60"/>
      <c r="W102" s="60"/>
      <c r="X102" s="60"/>
      <c r="Y102" s="60"/>
      <c r="Z102" s="60"/>
      <c r="AA102" s="63"/>
    </row>
    <row r="103" spans="2:27" s="59" customFormat="1" ht="22.5" customHeight="1" x14ac:dyDescent="0.25">
      <c r="B103" s="60"/>
      <c r="C103" s="60"/>
      <c r="D103" s="60"/>
      <c r="E103" s="60"/>
      <c r="F103" s="60"/>
      <c r="G103" s="60"/>
      <c r="H103" s="61"/>
      <c r="I103" s="62"/>
      <c r="J103" s="62"/>
      <c r="K103" s="62"/>
      <c r="L103" s="62"/>
      <c r="M103" s="62"/>
      <c r="N103" s="62"/>
      <c r="O103" s="62"/>
      <c r="P103" s="62"/>
      <c r="Q103" s="62"/>
      <c r="R103" s="63"/>
      <c r="S103" s="60"/>
      <c r="T103" s="63"/>
      <c r="U103" s="60"/>
      <c r="V103" s="60"/>
      <c r="W103" s="60"/>
      <c r="X103" s="60"/>
      <c r="Y103" s="60"/>
      <c r="Z103" s="60"/>
      <c r="AA103" s="63"/>
    </row>
    <row r="104" spans="2:27" s="59" customFormat="1" ht="22.5" customHeight="1" x14ac:dyDescent="0.25">
      <c r="B104" s="60"/>
      <c r="C104" s="60"/>
      <c r="D104" s="60"/>
      <c r="E104" s="60"/>
      <c r="F104" s="60"/>
      <c r="G104" s="60"/>
      <c r="H104" s="61"/>
      <c r="I104" s="62"/>
      <c r="J104" s="62"/>
      <c r="K104" s="62"/>
      <c r="L104" s="62"/>
      <c r="M104" s="62"/>
      <c r="N104" s="62"/>
      <c r="O104" s="62"/>
      <c r="P104" s="62"/>
      <c r="Q104" s="62"/>
      <c r="R104" s="63"/>
      <c r="S104" s="60"/>
      <c r="T104" s="63"/>
      <c r="U104" s="60"/>
      <c r="V104" s="60"/>
      <c r="W104" s="60"/>
      <c r="X104" s="60"/>
      <c r="Y104" s="60"/>
      <c r="Z104" s="60"/>
      <c r="AA104" s="63"/>
    </row>
    <row r="105" spans="2:27" s="59" customFormat="1" ht="22.5" customHeight="1" x14ac:dyDescent="0.25">
      <c r="B105" s="60"/>
      <c r="C105" s="60"/>
      <c r="D105" s="60"/>
      <c r="E105" s="60"/>
      <c r="F105" s="60"/>
      <c r="G105" s="60"/>
      <c r="H105" s="61"/>
      <c r="I105" s="62"/>
      <c r="J105" s="62"/>
      <c r="K105" s="62"/>
      <c r="L105" s="62"/>
      <c r="M105" s="62"/>
      <c r="N105" s="62"/>
      <c r="O105" s="62"/>
      <c r="P105" s="62"/>
      <c r="Q105" s="62"/>
      <c r="R105" s="63"/>
      <c r="S105" s="60"/>
      <c r="T105" s="63"/>
      <c r="U105" s="60"/>
      <c r="V105" s="60"/>
      <c r="W105" s="60"/>
      <c r="X105" s="60"/>
      <c r="Y105" s="60"/>
      <c r="Z105" s="60"/>
      <c r="AA105" s="63"/>
    </row>
    <row r="106" spans="2:27" s="59" customFormat="1" ht="22.5" customHeight="1" x14ac:dyDescent="0.25">
      <c r="B106" s="60"/>
      <c r="C106" s="60"/>
      <c r="D106" s="60"/>
      <c r="E106" s="60"/>
      <c r="F106" s="60"/>
      <c r="G106" s="60"/>
      <c r="H106" s="61"/>
      <c r="I106" s="62"/>
      <c r="J106" s="62"/>
      <c r="K106" s="62"/>
      <c r="L106" s="62"/>
      <c r="M106" s="62"/>
      <c r="N106" s="62"/>
      <c r="O106" s="62"/>
      <c r="P106" s="62"/>
      <c r="Q106" s="62"/>
      <c r="R106" s="63"/>
      <c r="S106" s="60"/>
      <c r="T106" s="63"/>
      <c r="U106" s="60"/>
      <c r="V106" s="60"/>
      <c r="W106" s="60"/>
      <c r="X106" s="60"/>
      <c r="Y106" s="60"/>
      <c r="Z106" s="60"/>
      <c r="AA106" s="63"/>
    </row>
    <row r="107" spans="2:27" s="59" customFormat="1" ht="22.5" customHeight="1" x14ac:dyDescent="0.25">
      <c r="B107" s="60"/>
      <c r="C107" s="60"/>
      <c r="D107" s="60"/>
      <c r="E107" s="60"/>
      <c r="F107" s="60"/>
      <c r="G107" s="60"/>
      <c r="H107" s="61"/>
      <c r="I107" s="62"/>
      <c r="J107" s="62"/>
      <c r="K107" s="62"/>
      <c r="L107" s="62"/>
      <c r="M107" s="62"/>
      <c r="N107" s="62"/>
      <c r="O107" s="62"/>
      <c r="P107" s="62"/>
      <c r="Q107" s="62"/>
      <c r="R107" s="63"/>
      <c r="S107" s="60"/>
      <c r="T107" s="63"/>
      <c r="U107" s="60"/>
      <c r="V107" s="60"/>
      <c r="W107" s="60"/>
      <c r="X107" s="60"/>
      <c r="Y107" s="60"/>
      <c r="Z107" s="60"/>
      <c r="AA107" s="63"/>
    </row>
    <row r="108" spans="2:27" s="59" customFormat="1" ht="22.5" customHeight="1" x14ac:dyDescent="0.25">
      <c r="B108" s="60"/>
      <c r="C108" s="60"/>
      <c r="D108" s="60"/>
      <c r="E108" s="60"/>
      <c r="F108" s="60"/>
      <c r="G108" s="60"/>
      <c r="H108" s="61"/>
      <c r="I108" s="62"/>
      <c r="J108" s="62"/>
      <c r="K108" s="62"/>
      <c r="L108" s="62"/>
      <c r="M108" s="62"/>
      <c r="N108" s="62"/>
      <c r="O108" s="62"/>
      <c r="P108" s="62"/>
      <c r="Q108" s="62"/>
      <c r="R108" s="63"/>
      <c r="S108" s="60"/>
      <c r="T108" s="63"/>
      <c r="U108" s="60"/>
      <c r="V108" s="60"/>
      <c r="W108" s="60"/>
      <c r="X108" s="60"/>
      <c r="Y108" s="60"/>
      <c r="Z108" s="60"/>
      <c r="AA108" s="63"/>
    </row>
    <row r="109" spans="2:27" s="59" customFormat="1" ht="22.5" customHeight="1" x14ac:dyDescent="0.25">
      <c r="B109" s="60"/>
      <c r="C109" s="60"/>
      <c r="D109" s="60"/>
      <c r="E109" s="60"/>
      <c r="F109" s="60"/>
      <c r="G109" s="60"/>
      <c r="H109" s="61"/>
      <c r="I109" s="62"/>
      <c r="J109" s="62"/>
      <c r="K109" s="62"/>
      <c r="L109" s="62"/>
      <c r="M109" s="62"/>
      <c r="N109" s="62"/>
      <c r="O109" s="62"/>
      <c r="P109" s="62"/>
      <c r="Q109" s="62"/>
      <c r="R109" s="63"/>
      <c r="S109" s="60"/>
      <c r="T109" s="63"/>
      <c r="U109" s="60"/>
      <c r="V109" s="60"/>
      <c r="W109" s="60"/>
      <c r="X109" s="60"/>
      <c r="Y109" s="60"/>
      <c r="Z109" s="60"/>
      <c r="AA109" s="63"/>
    </row>
    <row r="110" spans="2:27" s="59" customFormat="1" ht="22.5" customHeight="1" x14ac:dyDescent="0.25">
      <c r="B110" s="60"/>
      <c r="C110" s="60"/>
      <c r="D110" s="60"/>
      <c r="E110" s="60"/>
      <c r="F110" s="60"/>
      <c r="G110" s="60"/>
      <c r="H110" s="61"/>
      <c r="I110" s="62"/>
      <c r="J110" s="62"/>
      <c r="K110" s="62"/>
      <c r="L110" s="62"/>
      <c r="M110" s="62"/>
      <c r="N110" s="62"/>
      <c r="O110" s="62"/>
      <c r="P110" s="62"/>
      <c r="Q110" s="62"/>
      <c r="R110" s="63"/>
      <c r="S110" s="60"/>
      <c r="T110" s="63"/>
      <c r="U110" s="60"/>
      <c r="V110" s="60"/>
      <c r="W110" s="60"/>
      <c r="X110" s="60"/>
      <c r="Y110" s="60"/>
      <c r="Z110" s="60"/>
      <c r="AA110" s="63"/>
    </row>
    <row r="111" spans="2:27" s="59" customFormat="1" ht="22.5" customHeight="1" x14ac:dyDescent="0.25">
      <c r="B111" s="60"/>
      <c r="C111" s="60"/>
      <c r="D111" s="60"/>
      <c r="E111" s="60"/>
      <c r="F111" s="60"/>
      <c r="G111" s="60"/>
      <c r="H111" s="61"/>
      <c r="I111" s="62"/>
      <c r="J111" s="62"/>
      <c r="K111" s="62"/>
      <c r="L111" s="62"/>
      <c r="M111" s="62"/>
      <c r="N111" s="62"/>
      <c r="O111" s="62"/>
      <c r="P111" s="62"/>
      <c r="Q111" s="62"/>
      <c r="R111" s="63"/>
      <c r="S111" s="60"/>
      <c r="T111" s="63"/>
      <c r="U111" s="60"/>
      <c r="V111" s="60"/>
      <c r="W111" s="60"/>
      <c r="X111" s="60"/>
      <c r="Y111" s="60"/>
      <c r="Z111" s="60"/>
      <c r="AA111" s="63"/>
    </row>
    <row r="112" spans="2:27" s="59" customFormat="1" ht="22.5" customHeight="1" x14ac:dyDescent="0.25">
      <c r="B112" s="60"/>
      <c r="C112" s="60"/>
      <c r="D112" s="60"/>
      <c r="E112" s="60"/>
      <c r="F112" s="60"/>
      <c r="G112" s="60"/>
      <c r="H112" s="61"/>
      <c r="I112" s="62"/>
      <c r="J112" s="62"/>
      <c r="K112" s="62"/>
      <c r="L112" s="62"/>
      <c r="M112" s="62"/>
      <c r="N112" s="62"/>
      <c r="O112" s="62"/>
      <c r="P112" s="62"/>
      <c r="Q112" s="62"/>
      <c r="R112" s="63"/>
      <c r="S112" s="60"/>
      <c r="T112" s="63"/>
      <c r="U112" s="60"/>
      <c r="V112" s="60"/>
      <c r="W112" s="60"/>
      <c r="X112" s="60"/>
      <c r="Y112" s="60"/>
      <c r="Z112" s="60"/>
      <c r="AA112" s="63"/>
    </row>
    <row r="113" spans="2:27" s="59" customFormat="1" ht="22.5" customHeight="1" x14ac:dyDescent="0.25">
      <c r="B113" s="60"/>
      <c r="C113" s="60"/>
      <c r="D113" s="60"/>
      <c r="E113" s="60"/>
      <c r="F113" s="60"/>
      <c r="G113" s="60"/>
      <c r="H113" s="61"/>
      <c r="I113" s="62"/>
      <c r="J113" s="62"/>
      <c r="K113" s="62"/>
      <c r="L113" s="62"/>
      <c r="M113" s="62"/>
      <c r="N113" s="62"/>
      <c r="O113" s="62"/>
      <c r="P113" s="62"/>
      <c r="Q113" s="62"/>
      <c r="R113" s="63"/>
      <c r="S113" s="60"/>
      <c r="T113" s="63"/>
      <c r="U113" s="60"/>
      <c r="V113" s="60"/>
      <c r="W113" s="60"/>
      <c r="X113" s="60"/>
      <c r="Y113" s="60"/>
      <c r="Z113" s="60"/>
      <c r="AA113" s="63"/>
    </row>
    <row r="114" spans="2:27" s="59" customFormat="1" ht="22.5" customHeight="1" x14ac:dyDescent="0.25">
      <c r="B114" s="60"/>
      <c r="C114" s="60"/>
      <c r="D114" s="60"/>
      <c r="E114" s="60"/>
      <c r="F114" s="60"/>
      <c r="G114" s="60"/>
      <c r="H114" s="61"/>
      <c r="I114" s="62"/>
      <c r="J114" s="62"/>
      <c r="K114" s="62"/>
      <c r="L114" s="62"/>
      <c r="M114" s="62"/>
      <c r="N114" s="62"/>
      <c r="O114" s="62"/>
      <c r="P114" s="62"/>
      <c r="Q114" s="62"/>
      <c r="R114" s="63"/>
      <c r="S114" s="60"/>
      <c r="T114" s="63"/>
      <c r="U114" s="60"/>
      <c r="V114" s="60"/>
      <c r="W114" s="60"/>
      <c r="X114" s="60"/>
      <c r="Y114" s="60"/>
      <c r="Z114" s="60"/>
      <c r="AA114" s="63"/>
    </row>
    <row r="115" spans="2:27" s="59" customFormat="1" ht="22.5" customHeight="1" x14ac:dyDescent="0.25">
      <c r="B115" s="60"/>
      <c r="C115" s="60"/>
      <c r="D115" s="60"/>
      <c r="E115" s="60"/>
      <c r="F115" s="60"/>
      <c r="G115" s="60"/>
      <c r="H115" s="61"/>
      <c r="I115" s="62"/>
      <c r="J115" s="62"/>
      <c r="K115" s="62"/>
      <c r="L115" s="62"/>
      <c r="M115" s="62"/>
      <c r="N115" s="62"/>
      <c r="O115" s="62"/>
      <c r="P115" s="62"/>
      <c r="Q115" s="62"/>
      <c r="R115" s="63"/>
      <c r="S115" s="60"/>
      <c r="T115" s="63"/>
      <c r="U115" s="60"/>
      <c r="V115" s="60"/>
      <c r="W115" s="60"/>
      <c r="X115" s="60"/>
      <c r="Y115" s="60"/>
      <c r="Z115" s="60"/>
      <c r="AA115" s="63"/>
    </row>
    <row r="116" spans="2:27" s="59" customFormat="1" ht="22.5" customHeight="1" x14ac:dyDescent="0.25">
      <c r="B116" s="60"/>
      <c r="C116" s="60"/>
      <c r="D116" s="60"/>
      <c r="E116" s="60"/>
      <c r="F116" s="60"/>
      <c r="G116" s="60"/>
      <c r="H116" s="61"/>
      <c r="I116" s="62"/>
      <c r="J116" s="62"/>
      <c r="K116" s="62"/>
      <c r="L116" s="62"/>
      <c r="M116" s="62"/>
      <c r="N116" s="62"/>
      <c r="O116" s="62"/>
      <c r="P116" s="62"/>
      <c r="Q116" s="62"/>
      <c r="R116" s="63"/>
      <c r="S116" s="60"/>
      <c r="T116" s="63"/>
      <c r="U116" s="60"/>
      <c r="V116" s="60"/>
      <c r="W116" s="60"/>
      <c r="X116" s="60"/>
      <c r="Y116" s="60"/>
      <c r="Z116" s="60"/>
      <c r="AA116" s="63"/>
    </row>
    <row r="117" spans="2:27" s="59" customFormat="1" ht="22.5" customHeight="1" x14ac:dyDescent="0.25">
      <c r="B117" s="60"/>
      <c r="C117" s="60"/>
      <c r="D117" s="60"/>
      <c r="E117" s="60"/>
      <c r="F117" s="60"/>
      <c r="G117" s="60"/>
      <c r="H117" s="61"/>
      <c r="I117" s="62"/>
      <c r="J117" s="62"/>
      <c r="K117" s="62"/>
      <c r="L117" s="62"/>
      <c r="M117" s="62"/>
      <c r="N117" s="62"/>
      <c r="O117" s="62"/>
      <c r="P117" s="62"/>
      <c r="Q117" s="62"/>
      <c r="R117" s="63"/>
      <c r="S117" s="60"/>
      <c r="T117" s="63"/>
      <c r="U117" s="60"/>
      <c r="V117" s="60"/>
      <c r="W117" s="60"/>
      <c r="X117" s="60"/>
      <c r="Y117" s="60"/>
      <c r="Z117" s="60"/>
      <c r="AA117" s="63"/>
    </row>
    <row r="118" spans="2:27" s="59" customFormat="1" ht="22.5" customHeight="1" x14ac:dyDescent="0.25">
      <c r="B118" s="60"/>
      <c r="C118" s="60"/>
      <c r="D118" s="60"/>
      <c r="E118" s="60"/>
      <c r="F118" s="60"/>
      <c r="G118" s="60"/>
      <c r="H118" s="61"/>
      <c r="I118" s="62"/>
      <c r="J118" s="62"/>
      <c r="K118" s="62"/>
      <c r="L118" s="62"/>
      <c r="M118" s="62"/>
      <c r="N118" s="62"/>
      <c r="O118" s="62"/>
      <c r="P118" s="62"/>
      <c r="Q118" s="62"/>
      <c r="R118" s="63"/>
      <c r="S118" s="60"/>
      <c r="T118" s="63"/>
      <c r="U118" s="60"/>
      <c r="V118" s="60"/>
      <c r="W118" s="60"/>
      <c r="X118" s="60"/>
      <c r="Y118" s="60"/>
      <c r="Z118" s="60"/>
      <c r="AA118" s="63"/>
    </row>
    <row r="119" spans="2:27" s="59" customFormat="1" ht="22.5" customHeight="1" x14ac:dyDescent="0.25">
      <c r="B119" s="60"/>
      <c r="C119" s="60"/>
      <c r="D119" s="60"/>
      <c r="E119" s="60"/>
      <c r="F119" s="60"/>
      <c r="G119" s="60"/>
      <c r="H119" s="61"/>
      <c r="I119" s="62"/>
      <c r="J119" s="62"/>
      <c r="K119" s="62"/>
      <c r="L119" s="62"/>
      <c r="M119" s="62"/>
      <c r="N119" s="62"/>
      <c r="O119" s="62"/>
      <c r="P119" s="62"/>
      <c r="Q119" s="62"/>
      <c r="R119" s="63"/>
      <c r="S119" s="60"/>
      <c r="T119" s="63"/>
      <c r="U119" s="60"/>
      <c r="V119" s="60"/>
      <c r="W119" s="60"/>
      <c r="X119" s="60"/>
      <c r="Y119" s="60"/>
      <c r="Z119" s="60"/>
      <c r="AA119" s="63"/>
    </row>
    <row r="120" spans="2:27" s="59" customFormat="1" ht="22.5" customHeight="1" x14ac:dyDescent="0.25">
      <c r="B120" s="60"/>
      <c r="C120" s="60"/>
      <c r="D120" s="60"/>
      <c r="E120" s="60"/>
      <c r="F120" s="60"/>
      <c r="G120" s="60"/>
      <c r="H120" s="61"/>
      <c r="I120" s="62"/>
      <c r="J120" s="62"/>
      <c r="K120" s="62"/>
      <c r="L120" s="62"/>
      <c r="M120" s="62"/>
      <c r="N120" s="62"/>
      <c r="O120" s="62"/>
      <c r="P120" s="62"/>
      <c r="Q120" s="62"/>
      <c r="R120" s="63"/>
      <c r="S120" s="60"/>
      <c r="T120" s="63"/>
      <c r="U120" s="60"/>
      <c r="V120" s="60"/>
      <c r="W120" s="60"/>
      <c r="X120" s="60"/>
      <c r="Y120" s="60"/>
      <c r="Z120" s="60"/>
      <c r="AA120" s="63"/>
    </row>
    <row r="121" spans="2:27" s="59" customFormat="1" ht="22.5" customHeight="1" x14ac:dyDescent="0.25">
      <c r="B121" s="60"/>
      <c r="C121" s="60"/>
      <c r="D121" s="60"/>
      <c r="E121" s="60"/>
      <c r="F121" s="60"/>
      <c r="G121" s="60"/>
      <c r="H121" s="61"/>
      <c r="I121" s="62"/>
      <c r="J121" s="62"/>
      <c r="K121" s="62"/>
      <c r="L121" s="62"/>
      <c r="M121" s="62"/>
      <c r="N121" s="62"/>
      <c r="O121" s="62"/>
      <c r="P121" s="62"/>
      <c r="Q121" s="62"/>
      <c r="R121" s="63"/>
      <c r="S121" s="60"/>
      <c r="T121" s="63"/>
      <c r="U121" s="60"/>
      <c r="V121" s="60"/>
      <c r="W121" s="60"/>
      <c r="X121" s="60"/>
      <c r="Y121" s="60"/>
      <c r="Z121" s="60"/>
      <c r="AA121" s="63"/>
    </row>
    <row r="122" spans="2:27" s="59" customFormat="1" ht="22.5" customHeight="1" x14ac:dyDescent="0.25">
      <c r="B122" s="60"/>
      <c r="C122" s="60"/>
      <c r="D122" s="60"/>
      <c r="E122" s="60"/>
      <c r="F122" s="60"/>
      <c r="G122" s="60"/>
      <c r="H122" s="61"/>
      <c r="I122" s="62"/>
      <c r="J122" s="62"/>
      <c r="K122" s="62"/>
      <c r="L122" s="62"/>
      <c r="M122" s="62"/>
      <c r="N122" s="62"/>
      <c r="O122" s="62"/>
      <c r="P122" s="62"/>
      <c r="Q122" s="62"/>
      <c r="R122" s="63"/>
      <c r="S122" s="60"/>
      <c r="T122" s="63"/>
      <c r="U122" s="60"/>
      <c r="V122" s="60"/>
      <c r="W122" s="60"/>
      <c r="X122" s="60"/>
      <c r="Y122" s="60"/>
      <c r="Z122" s="60"/>
      <c r="AA122" s="63"/>
    </row>
    <row r="123" spans="2:27" s="59" customFormat="1" ht="22.5" customHeight="1" x14ac:dyDescent="0.25">
      <c r="B123" s="60"/>
      <c r="C123" s="60"/>
      <c r="D123" s="60"/>
      <c r="E123" s="60"/>
      <c r="F123" s="60"/>
      <c r="G123" s="60"/>
      <c r="H123" s="61"/>
      <c r="I123" s="62"/>
      <c r="J123" s="62"/>
      <c r="K123" s="62"/>
      <c r="L123" s="62"/>
      <c r="M123" s="62"/>
      <c r="N123" s="62"/>
      <c r="O123" s="62"/>
      <c r="P123" s="62"/>
      <c r="Q123" s="62"/>
      <c r="R123" s="63"/>
      <c r="S123" s="60"/>
      <c r="T123" s="63"/>
      <c r="U123" s="60"/>
      <c r="V123" s="60"/>
      <c r="W123" s="60"/>
      <c r="X123" s="60"/>
      <c r="Y123" s="60"/>
      <c r="Z123" s="60"/>
      <c r="AA123" s="63"/>
    </row>
    <row r="124" spans="2:27" s="59" customFormat="1" ht="22.5" customHeight="1" x14ac:dyDescent="0.25">
      <c r="B124" s="60"/>
      <c r="C124" s="60"/>
      <c r="D124" s="60"/>
      <c r="E124" s="60"/>
      <c r="F124" s="60"/>
      <c r="G124" s="60"/>
      <c r="H124" s="61"/>
      <c r="I124" s="62"/>
      <c r="J124" s="62"/>
      <c r="K124" s="62"/>
      <c r="L124" s="62"/>
      <c r="M124" s="62"/>
      <c r="N124" s="62"/>
      <c r="O124" s="62"/>
      <c r="P124" s="62"/>
      <c r="Q124" s="62"/>
      <c r="R124" s="63"/>
      <c r="S124" s="60"/>
      <c r="T124" s="63"/>
      <c r="U124" s="60"/>
      <c r="V124" s="60"/>
      <c r="W124" s="60"/>
      <c r="X124" s="60"/>
      <c r="Y124" s="60"/>
      <c r="Z124" s="60"/>
      <c r="AA124" s="63"/>
    </row>
    <row r="125" spans="2:27" s="59" customFormat="1" ht="22.5" customHeight="1" x14ac:dyDescent="0.25">
      <c r="B125" s="60"/>
      <c r="C125" s="60"/>
      <c r="D125" s="60"/>
      <c r="E125" s="60"/>
      <c r="F125" s="60"/>
      <c r="G125" s="60"/>
      <c r="H125" s="61"/>
      <c r="I125" s="62"/>
      <c r="J125" s="62"/>
      <c r="K125" s="62"/>
      <c r="L125" s="62"/>
      <c r="M125" s="62"/>
      <c r="N125" s="62"/>
      <c r="O125" s="62"/>
      <c r="P125" s="62"/>
      <c r="Q125" s="62"/>
      <c r="R125" s="63"/>
      <c r="S125" s="60"/>
      <c r="T125" s="63"/>
      <c r="U125" s="60"/>
      <c r="V125" s="60"/>
      <c r="W125" s="60"/>
      <c r="X125" s="60"/>
      <c r="Y125" s="60"/>
      <c r="Z125" s="60"/>
      <c r="AA125" s="63"/>
    </row>
    <row r="126" spans="2:27" s="59" customFormat="1" ht="22.5" customHeight="1" x14ac:dyDescent="0.25">
      <c r="B126" s="60"/>
      <c r="C126" s="60"/>
      <c r="D126" s="60"/>
      <c r="E126" s="60"/>
      <c r="F126" s="60"/>
      <c r="G126" s="60"/>
      <c r="H126" s="61"/>
      <c r="I126" s="62"/>
      <c r="J126" s="62"/>
      <c r="K126" s="62"/>
      <c r="L126" s="62"/>
      <c r="M126" s="62"/>
      <c r="N126" s="62"/>
      <c r="O126" s="62"/>
      <c r="P126" s="62"/>
      <c r="Q126" s="62"/>
      <c r="R126" s="63"/>
      <c r="S126" s="60"/>
      <c r="T126" s="63"/>
      <c r="U126" s="60"/>
      <c r="V126" s="60"/>
      <c r="W126" s="60"/>
      <c r="X126" s="64"/>
      <c r="Y126" s="64"/>
      <c r="Z126" s="64"/>
      <c r="AA126" s="63"/>
    </row>
    <row r="127" spans="2:27" s="59" customFormat="1" ht="22.5" customHeight="1" x14ac:dyDescent="0.25">
      <c r="B127" s="60"/>
      <c r="C127" s="60"/>
      <c r="D127" s="60"/>
      <c r="E127" s="60"/>
      <c r="F127" s="60"/>
      <c r="G127" s="60"/>
      <c r="H127" s="61"/>
      <c r="I127" s="62"/>
      <c r="J127" s="62"/>
      <c r="K127" s="62"/>
      <c r="L127" s="62"/>
      <c r="M127" s="62"/>
      <c r="N127" s="62"/>
      <c r="O127" s="62"/>
      <c r="P127" s="62"/>
      <c r="Q127" s="62"/>
      <c r="R127" s="63"/>
      <c r="S127" s="60"/>
      <c r="T127" s="63"/>
      <c r="U127" s="60"/>
      <c r="V127" s="60"/>
      <c r="W127" s="60"/>
      <c r="X127" s="64"/>
      <c r="Y127" s="64"/>
      <c r="Z127" s="64"/>
      <c r="AA127" s="63"/>
    </row>
    <row r="128" spans="2:27" s="59" customFormat="1" ht="22.5" customHeight="1" x14ac:dyDescent="0.25">
      <c r="B128" s="60"/>
      <c r="C128" s="60"/>
      <c r="D128" s="60"/>
      <c r="E128" s="60"/>
      <c r="F128" s="60"/>
      <c r="G128" s="60"/>
      <c r="H128" s="61"/>
      <c r="I128" s="62"/>
      <c r="J128" s="62"/>
      <c r="K128" s="62"/>
      <c r="L128" s="62"/>
      <c r="M128" s="62"/>
      <c r="N128" s="62"/>
      <c r="O128" s="62"/>
      <c r="P128" s="62"/>
      <c r="Q128" s="62"/>
      <c r="R128" s="63"/>
      <c r="S128" s="60"/>
      <c r="T128" s="63"/>
      <c r="U128" s="60"/>
      <c r="V128" s="60"/>
      <c r="W128" s="60"/>
      <c r="X128" s="64"/>
      <c r="Y128" s="64"/>
      <c r="Z128" s="64"/>
      <c r="AA128" s="63"/>
    </row>
    <row r="129" spans="2:27" s="59" customFormat="1" ht="22.5" customHeight="1" x14ac:dyDescent="0.25">
      <c r="B129" s="60"/>
      <c r="C129" s="60"/>
      <c r="D129" s="60"/>
      <c r="E129" s="60"/>
      <c r="F129" s="60"/>
      <c r="G129" s="60"/>
      <c r="H129" s="61"/>
      <c r="I129" s="62"/>
      <c r="J129" s="62"/>
      <c r="K129" s="62"/>
      <c r="L129" s="62"/>
      <c r="M129" s="62"/>
      <c r="N129" s="62"/>
      <c r="O129" s="62"/>
      <c r="P129" s="62"/>
      <c r="Q129" s="62"/>
      <c r="R129" s="63"/>
      <c r="S129" s="60"/>
      <c r="T129" s="63"/>
      <c r="U129" s="60"/>
      <c r="V129" s="60"/>
      <c r="W129" s="60"/>
      <c r="X129" s="64"/>
      <c r="Y129" s="64"/>
      <c r="Z129" s="64"/>
      <c r="AA129" s="63"/>
    </row>
    <row r="130" spans="2:27" s="59" customFormat="1" ht="22.5" customHeight="1" x14ac:dyDescent="0.25">
      <c r="B130" s="60"/>
      <c r="C130" s="60"/>
      <c r="D130" s="60"/>
      <c r="E130" s="60"/>
      <c r="F130" s="60"/>
      <c r="G130" s="60"/>
      <c r="H130" s="61"/>
      <c r="I130" s="62"/>
      <c r="J130" s="62"/>
      <c r="K130" s="62"/>
      <c r="L130" s="62"/>
      <c r="M130" s="62"/>
      <c r="N130" s="62"/>
      <c r="O130" s="62"/>
      <c r="P130" s="62"/>
      <c r="Q130" s="62"/>
      <c r="R130" s="63"/>
      <c r="S130" s="60"/>
      <c r="T130" s="63"/>
      <c r="U130" s="60"/>
      <c r="V130" s="60"/>
      <c r="W130" s="60"/>
      <c r="X130" s="64"/>
      <c r="Y130" s="64"/>
      <c r="Z130" s="64"/>
      <c r="AA130" s="63"/>
    </row>
    <row r="131" spans="2:27" s="59" customFormat="1" ht="22.5" customHeight="1" x14ac:dyDescent="0.25">
      <c r="B131" s="60"/>
      <c r="C131" s="60"/>
      <c r="D131" s="60"/>
      <c r="E131" s="60"/>
      <c r="F131" s="60"/>
      <c r="G131" s="60"/>
      <c r="H131" s="61"/>
      <c r="I131" s="62"/>
      <c r="J131" s="62"/>
      <c r="K131" s="62"/>
      <c r="L131" s="62"/>
      <c r="M131" s="62"/>
      <c r="N131" s="62"/>
      <c r="O131" s="62"/>
      <c r="P131" s="62"/>
      <c r="Q131" s="62"/>
      <c r="R131" s="63"/>
      <c r="S131" s="60"/>
      <c r="T131" s="63"/>
      <c r="U131" s="60"/>
      <c r="V131" s="60"/>
      <c r="W131" s="60"/>
      <c r="X131" s="64"/>
      <c r="Y131" s="64"/>
      <c r="Z131" s="64"/>
      <c r="AA131" s="63"/>
    </row>
    <row r="132" spans="2:27" s="59" customFormat="1" ht="22.5" customHeight="1" x14ac:dyDescent="0.25">
      <c r="B132" s="60"/>
      <c r="C132" s="60"/>
      <c r="D132" s="60"/>
      <c r="E132" s="60"/>
      <c r="F132" s="60"/>
      <c r="G132" s="60"/>
      <c r="H132" s="61"/>
      <c r="I132" s="62"/>
      <c r="J132" s="62"/>
      <c r="K132" s="62"/>
      <c r="L132" s="62"/>
      <c r="M132" s="62"/>
      <c r="N132" s="62"/>
      <c r="O132" s="62"/>
      <c r="P132" s="62"/>
      <c r="Q132" s="62"/>
      <c r="R132" s="63"/>
      <c r="S132" s="60"/>
      <c r="T132" s="63"/>
      <c r="U132" s="60"/>
      <c r="V132" s="60"/>
      <c r="W132" s="60"/>
      <c r="X132" s="64"/>
      <c r="Y132" s="64"/>
      <c r="Z132" s="64"/>
      <c r="AA132" s="63"/>
    </row>
    <row r="133" spans="2:27" s="59" customFormat="1" ht="22.5" customHeight="1" x14ac:dyDescent="0.25">
      <c r="B133" s="60"/>
      <c r="C133" s="60"/>
      <c r="D133" s="60"/>
      <c r="E133" s="60"/>
      <c r="F133" s="60"/>
      <c r="G133" s="60"/>
      <c r="H133" s="61"/>
      <c r="I133" s="62"/>
      <c r="J133" s="62"/>
      <c r="K133" s="62"/>
      <c r="L133" s="62"/>
      <c r="M133" s="62"/>
      <c r="N133" s="62"/>
      <c r="O133" s="62"/>
      <c r="P133" s="62"/>
      <c r="Q133" s="62"/>
      <c r="R133" s="63"/>
      <c r="S133" s="60"/>
      <c r="T133" s="63"/>
      <c r="U133" s="60"/>
      <c r="V133" s="60"/>
      <c r="W133" s="60"/>
      <c r="X133" s="64"/>
      <c r="Y133" s="64"/>
      <c r="Z133" s="64"/>
      <c r="AA133" s="63"/>
    </row>
    <row r="134" spans="2:27" s="59" customFormat="1" ht="22.5" customHeight="1" x14ac:dyDescent="0.25">
      <c r="B134" s="60"/>
      <c r="C134" s="60"/>
      <c r="D134" s="60"/>
      <c r="E134" s="60"/>
      <c r="F134" s="60"/>
      <c r="G134" s="60"/>
      <c r="H134" s="61"/>
      <c r="I134" s="62"/>
      <c r="J134" s="62"/>
      <c r="K134" s="62"/>
      <c r="L134" s="62"/>
      <c r="M134" s="62"/>
      <c r="N134" s="62"/>
      <c r="O134" s="62"/>
      <c r="P134" s="62"/>
      <c r="Q134" s="62"/>
      <c r="R134" s="63"/>
      <c r="S134" s="60"/>
      <c r="T134" s="63"/>
      <c r="U134" s="60"/>
      <c r="V134" s="60"/>
      <c r="W134" s="60"/>
      <c r="X134" s="64"/>
      <c r="Y134" s="64"/>
      <c r="Z134" s="64"/>
      <c r="AA134" s="63"/>
    </row>
    <row r="135" spans="2:27" s="59" customFormat="1" ht="22.5" customHeight="1" x14ac:dyDescent="0.25">
      <c r="B135" s="60"/>
      <c r="C135" s="60"/>
      <c r="D135" s="60"/>
      <c r="E135" s="60"/>
      <c r="F135" s="60"/>
      <c r="G135" s="60"/>
      <c r="H135" s="61"/>
      <c r="I135" s="62"/>
      <c r="J135" s="62"/>
      <c r="K135" s="62"/>
      <c r="L135" s="62"/>
      <c r="M135" s="62"/>
      <c r="N135" s="62"/>
      <c r="O135" s="62"/>
      <c r="P135" s="62"/>
      <c r="Q135" s="62"/>
      <c r="R135" s="63"/>
      <c r="S135" s="60"/>
      <c r="T135" s="63"/>
      <c r="U135" s="60"/>
      <c r="V135" s="60"/>
      <c r="W135" s="60"/>
      <c r="X135" s="64"/>
      <c r="Y135" s="64"/>
      <c r="Z135" s="64"/>
      <c r="AA135" s="63"/>
    </row>
    <row r="136" spans="2:27" s="59" customFormat="1" ht="22.5" customHeight="1" x14ac:dyDescent="0.25">
      <c r="B136" s="60"/>
      <c r="C136" s="60"/>
      <c r="D136" s="60"/>
      <c r="E136" s="60"/>
      <c r="F136" s="60"/>
      <c r="G136" s="60"/>
      <c r="H136" s="61"/>
      <c r="I136" s="62"/>
      <c r="J136" s="62"/>
      <c r="K136" s="62"/>
      <c r="L136" s="62"/>
      <c r="M136" s="62"/>
      <c r="N136" s="62"/>
      <c r="O136" s="62"/>
      <c r="P136" s="62"/>
      <c r="Q136" s="62"/>
      <c r="R136" s="63"/>
      <c r="S136" s="60"/>
      <c r="T136" s="63"/>
      <c r="U136" s="60"/>
      <c r="V136" s="60"/>
      <c r="W136" s="60"/>
      <c r="X136" s="64"/>
      <c r="Y136" s="64"/>
      <c r="Z136" s="64"/>
      <c r="AA136" s="63"/>
    </row>
    <row r="137" spans="2:27" s="59" customFormat="1" ht="22.5" customHeight="1" x14ac:dyDescent="0.25">
      <c r="B137" s="60"/>
      <c r="C137" s="60"/>
      <c r="D137" s="60"/>
      <c r="E137" s="60"/>
      <c r="F137" s="60"/>
      <c r="G137" s="60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3"/>
      <c r="S137" s="60"/>
      <c r="T137" s="63"/>
      <c r="U137" s="60"/>
      <c r="V137" s="60"/>
      <c r="W137" s="60"/>
      <c r="X137" s="64"/>
      <c r="Y137" s="64"/>
      <c r="Z137" s="64"/>
      <c r="AA137" s="63"/>
    </row>
    <row r="138" spans="2:27" s="59" customFormat="1" ht="22.5" customHeight="1" x14ac:dyDescent="0.25">
      <c r="B138" s="60"/>
      <c r="C138" s="60"/>
      <c r="D138" s="60"/>
      <c r="E138" s="60"/>
      <c r="F138" s="60"/>
      <c r="G138" s="60"/>
      <c r="H138" s="61"/>
      <c r="I138" s="62"/>
      <c r="J138" s="62"/>
      <c r="K138" s="62"/>
      <c r="L138" s="62"/>
      <c r="M138" s="62"/>
      <c r="N138" s="62"/>
      <c r="O138" s="62"/>
      <c r="P138" s="62"/>
      <c r="Q138" s="62"/>
      <c r="R138" s="63"/>
      <c r="S138" s="60"/>
      <c r="T138" s="63"/>
      <c r="U138" s="60"/>
      <c r="V138" s="60"/>
      <c r="W138" s="60"/>
      <c r="X138" s="64"/>
      <c r="Y138" s="64"/>
      <c r="Z138" s="64"/>
      <c r="AA138" s="63"/>
    </row>
    <row r="139" spans="2:27" s="59" customFormat="1" ht="22.5" customHeight="1" x14ac:dyDescent="0.25">
      <c r="B139" s="60"/>
      <c r="C139" s="60"/>
      <c r="D139" s="60"/>
      <c r="E139" s="60"/>
      <c r="F139" s="60"/>
      <c r="G139" s="60"/>
      <c r="H139" s="61"/>
      <c r="I139" s="62"/>
      <c r="J139" s="62"/>
      <c r="K139" s="62"/>
      <c r="L139" s="62"/>
      <c r="M139" s="62"/>
      <c r="N139" s="62"/>
      <c r="O139" s="62"/>
      <c r="P139" s="62"/>
      <c r="Q139" s="62"/>
      <c r="R139" s="63"/>
      <c r="S139" s="60"/>
      <c r="T139" s="63"/>
      <c r="U139" s="60"/>
      <c r="V139" s="60"/>
      <c r="W139" s="60"/>
      <c r="X139" s="64"/>
      <c r="Y139" s="64"/>
      <c r="Z139" s="64"/>
      <c r="AA139" s="63"/>
    </row>
    <row r="140" spans="2:27" s="59" customFormat="1" ht="22.5" customHeight="1" x14ac:dyDescent="0.25">
      <c r="B140" s="60"/>
      <c r="C140" s="60"/>
      <c r="D140" s="60"/>
      <c r="E140" s="60"/>
      <c r="F140" s="60"/>
      <c r="G140" s="60"/>
      <c r="H140" s="61"/>
      <c r="I140" s="62"/>
      <c r="J140" s="62"/>
      <c r="K140" s="62"/>
      <c r="L140" s="62"/>
      <c r="M140" s="62"/>
      <c r="N140" s="62"/>
      <c r="O140" s="62"/>
      <c r="P140" s="62"/>
      <c r="Q140" s="62"/>
      <c r="R140" s="63"/>
      <c r="S140" s="60"/>
      <c r="T140" s="63"/>
      <c r="U140" s="60"/>
      <c r="V140" s="60"/>
      <c r="W140" s="60"/>
      <c r="X140" s="64"/>
      <c r="Y140" s="64"/>
      <c r="Z140" s="64"/>
      <c r="AA140" s="63"/>
    </row>
    <row r="141" spans="2:27" s="59" customFormat="1" ht="22.5" customHeight="1" x14ac:dyDescent="0.25">
      <c r="B141" s="60"/>
      <c r="C141" s="60"/>
      <c r="D141" s="60"/>
      <c r="E141" s="60"/>
      <c r="F141" s="60"/>
      <c r="G141" s="60"/>
      <c r="H141" s="61"/>
      <c r="I141" s="62"/>
      <c r="J141" s="62"/>
      <c r="K141" s="62"/>
      <c r="L141" s="62"/>
      <c r="M141" s="62"/>
      <c r="N141" s="62"/>
      <c r="O141" s="62"/>
      <c r="P141" s="62"/>
      <c r="Q141" s="62"/>
      <c r="R141" s="63"/>
      <c r="S141" s="60"/>
      <c r="T141" s="63"/>
      <c r="U141" s="60"/>
      <c r="V141" s="60"/>
      <c r="W141" s="60"/>
      <c r="X141" s="64"/>
      <c r="Y141" s="64"/>
      <c r="Z141" s="64"/>
      <c r="AA141" s="63"/>
    </row>
    <row r="142" spans="2:27" s="59" customFormat="1" ht="22.5" customHeight="1" x14ac:dyDescent="0.25">
      <c r="B142" s="60"/>
      <c r="C142" s="60"/>
      <c r="D142" s="60"/>
      <c r="E142" s="60"/>
      <c r="F142" s="60"/>
      <c r="G142" s="60"/>
      <c r="H142" s="61"/>
      <c r="I142" s="62"/>
      <c r="J142" s="62"/>
      <c r="K142" s="62"/>
      <c r="L142" s="62"/>
      <c r="M142" s="62"/>
      <c r="N142" s="62"/>
      <c r="O142" s="62"/>
      <c r="P142" s="62"/>
      <c r="Q142" s="62"/>
      <c r="R142" s="63"/>
      <c r="S142" s="60"/>
      <c r="T142" s="63"/>
      <c r="U142" s="60"/>
      <c r="V142" s="60"/>
      <c r="W142" s="60"/>
      <c r="X142" s="64"/>
      <c r="Y142" s="64"/>
      <c r="Z142" s="64"/>
      <c r="AA142" s="63"/>
    </row>
    <row r="143" spans="2:27" s="59" customFormat="1" ht="22.5" customHeight="1" x14ac:dyDescent="0.25">
      <c r="B143" s="60"/>
      <c r="C143" s="60"/>
      <c r="D143" s="60"/>
      <c r="E143" s="60"/>
      <c r="F143" s="60"/>
      <c r="G143" s="60"/>
      <c r="H143" s="61"/>
      <c r="I143" s="62"/>
      <c r="J143" s="62"/>
      <c r="K143" s="62"/>
      <c r="L143" s="62"/>
      <c r="M143" s="62"/>
      <c r="N143" s="62"/>
      <c r="O143" s="62"/>
      <c r="P143" s="62"/>
      <c r="Q143" s="62"/>
      <c r="R143" s="63"/>
      <c r="S143" s="60"/>
      <c r="T143" s="63"/>
      <c r="U143" s="60"/>
      <c r="V143" s="60"/>
      <c r="W143" s="60"/>
      <c r="X143" s="64"/>
      <c r="Y143" s="64"/>
      <c r="Z143" s="64"/>
      <c r="AA143" s="63"/>
    </row>
    <row r="144" spans="2:27" s="59" customFormat="1" ht="22.5" customHeight="1" x14ac:dyDescent="0.25">
      <c r="B144" s="60"/>
      <c r="C144" s="60"/>
      <c r="D144" s="60"/>
      <c r="E144" s="60"/>
      <c r="F144" s="60"/>
      <c r="G144" s="60"/>
      <c r="H144" s="61"/>
      <c r="I144" s="62"/>
      <c r="J144" s="62"/>
      <c r="K144" s="62"/>
      <c r="L144" s="62"/>
      <c r="M144" s="62"/>
      <c r="N144" s="62"/>
      <c r="O144" s="62"/>
      <c r="P144" s="62"/>
      <c r="Q144" s="62"/>
      <c r="R144" s="63"/>
      <c r="S144" s="60"/>
      <c r="T144" s="63"/>
      <c r="U144" s="60"/>
      <c r="V144" s="60"/>
      <c r="W144" s="60"/>
      <c r="X144" s="64"/>
      <c r="Y144" s="64"/>
      <c r="Z144" s="64"/>
      <c r="AA144" s="63"/>
    </row>
    <row r="145" spans="2:27" s="59" customFormat="1" ht="22.5" customHeight="1" x14ac:dyDescent="0.25">
      <c r="B145" s="60"/>
      <c r="C145" s="60"/>
      <c r="D145" s="60"/>
      <c r="E145" s="60"/>
      <c r="F145" s="60"/>
      <c r="G145" s="60"/>
      <c r="H145" s="61"/>
      <c r="I145" s="62"/>
      <c r="J145" s="62"/>
      <c r="K145" s="62"/>
      <c r="L145" s="62"/>
      <c r="M145" s="62"/>
      <c r="N145" s="62"/>
      <c r="O145" s="62"/>
      <c r="P145" s="62"/>
      <c r="Q145" s="62"/>
      <c r="R145" s="63"/>
      <c r="S145" s="60"/>
      <c r="T145" s="63"/>
      <c r="U145" s="60"/>
      <c r="V145" s="60"/>
      <c r="W145" s="60"/>
      <c r="X145" s="64"/>
      <c r="Y145" s="64"/>
      <c r="Z145" s="64"/>
      <c r="AA145" s="63"/>
    </row>
    <row r="146" spans="2:27" s="59" customFormat="1" ht="22.5" customHeight="1" x14ac:dyDescent="0.25">
      <c r="B146" s="60"/>
      <c r="C146" s="60"/>
      <c r="D146" s="60"/>
      <c r="E146" s="60"/>
      <c r="F146" s="60"/>
      <c r="G146" s="60"/>
      <c r="H146" s="61"/>
      <c r="I146" s="62"/>
      <c r="J146" s="62"/>
      <c r="K146" s="62"/>
      <c r="L146" s="62"/>
      <c r="M146" s="62"/>
      <c r="N146" s="62"/>
      <c r="O146" s="62"/>
      <c r="P146" s="62"/>
      <c r="Q146" s="62"/>
      <c r="R146" s="63"/>
      <c r="S146" s="60"/>
      <c r="T146" s="63"/>
      <c r="U146" s="60"/>
      <c r="V146" s="60"/>
      <c r="W146" s="60"/>
      <c r="X146" s="64"/>
      <c r="Y146" s="64"/>
      <c r="Z146" s="64"/>
      <c r="AA146" s="63"/>
    </row>
    <row r="147" spans="2:27" s="59" customFormat="1" ht="22.5" customHeight="1" x14ac:dyDescent="0.25">
      <c r="B147" s="60"/>
      <c r="C147" s="60"/>
      <c r="D147" s="60"/>
      <c r="E147" s="60"/>
      <c r="F147" s="60"/>
      <c r="G147" s="60"/>
      <c r="H147" s="61"/>
      <c r="I147" s="62"/>
      <c r="J147" s="62"/>
      <c r="K147" s="62"/>
      <c r="L147" s="62"/>
      <c r="M147" s="62"/>
      <c r="N147" s="62"/>
      <c r="O147" s="62"/>
      <c r="P147" s="62"/>
      <c r="Q147" s="62"/>
      <c r="R147" s="63"/>
      <c r="S147" s="60"/>
      <c r="T147" s="63"/>
      <c r="U147" s="60"/>
      <c r="V147" s="60"/>
      <c r="W147" s="60"/>
      <c r="X147" s="64"/>
      <c r="Y147" s="64"/>
      <c r="Z147" s="64"/>
      <c r="AA147" s="63"/>
    </row>
    <row r="148" spans="2:27" s="59" customFormat="1" ht="22.5" customHeight="1" x14ac:dyDescent="0.25">
      <c r="B148" s="60"/>
      <c r="C148" s="60"/>
      <c r="D148" s="60"/>
      <c r="E148" s="60"/>
      <c r="F148" s="60"/>
      <c r="G148" s="60"/>
      <c r="H148" s="61"/>
      <c r="I148" s="62"/>
      <c r="J148" s="62"/>
      <c r="K148" s="62"/>
      <c r="L148" s="62"/>
      <c r="M148" s="62"/>
      <c r="N148" s="62"/>
      <c r="O148" s="62"/>
      <c r="P148" s="62"/>
      <c r="Q148" s="62"/>
      <c r="R148" s="63"/>
      <c r="S148" s="60"/>
      <c r="T148" s="63"/>
      <c r="U148" s="60"/>
      <c r="V148" s="60"/>
      <c r="W148" s="60"/>
      <c r="X148" s="64"/>
      <c r="Y148" s="64"/>
      <c r="Z148" s="64"/>
      <c r="AA148" s="63"/>
    </row>
    <row r="149" spans="2:27" s="59" customFormat="1" ht="22.5" customHeight="1" x14ac:dyDescent="0.25">
      <c r="B149" s="60"/>
      <c r="C149" s="60"/>
      <c r="D149" s="60"/>
      <c r="E149" s="60"/>
      <c r="F149" s="60"/>
      <c r="G149" s="60"/>
      <c r="H149" s="61"/>
      <c r="I149" s="62"/>
      <c r="J149" s="62"/>
      <c r="K149" s="62"/>
      <c r="L149" s="62"/>
      <c r="M149" s="62"/>
      <c r="N149" s="62"/>
      <c r="O149" s="62"/>
      <c r="P149" s="62"/>
      <c r="Q149" s="62"/>
      <c r="R149" s="63"/>
      <c r="S149" s="60"/>
      <c r="T149" s="63"/>
      <c r="U149" s="60"/>
      <c r="V149" s="60"/>
      <c r="W149" s="60"/>
      <c r="X149" s="64"/>
      <c r="Y149" s="64"/>
      <c r="Z149" s="64"/>
      <c r="AA149" s="63"/>
    </row>
    <row r="150" spans="2:27" s="59" customFormat="1" ht="22.5" customHeight="1" x14ac:dyDescent="0.25">
      <c r="B150" s="60"/>
      <c r="C150" s="60"/>
      <c r="D150" s="60"/>
      <c r="E150" s="60"/>
      <c r="F150" s="60"/>
      <c r="G150" s="60"/>
      <c r="H150" s="61"/>
      <c r="I150" s="62"/>
      <c r="J150" s="62"/>
      <c r="K150" s="62"/>
      <c r="L150" s="62"/>
      <c r="M150" s="62"/>
      <c r="N150" s="62"/>
      <c r="O150" s="62"/>
      <c r="P150" s="62"/>
      <c r="Q150" s="62"/>
      <c r="R150" s="63"/>
      <c r="S150" s="60"/>
      <c r="T150" s="63"/>
      <c r="U150" s="60"/>
      <c r="V150" s="60"/>
      <c r="W150" s="60"/>
      <c r="X150" s="64"/>
      <c r="Y150" s="64"/>
      <c r="Z150" s="64"/>
      <c r="AA150" s="63"/>
    </row>
    <row r="151" spans="2:27" s="59" customFormat="1" ht="22.5" customHeight="1" x14ac:dyDescent="0.25">
      <c r="B151" s="60"/>
      <c r="C151" s="60"/>
      <c r="D151" s="60"/>
      <c r="E151" s="60"/>
      <c r="F151" s="60"/>
      <c r="G151" s="60"/>
      <c r="H151" s="61"/>
      <c r="I151" s="62"/>
      <c r="J151" s="62"/>
      <c r="K151" s="62"/>
      <c r="L151" s="62"/>
      <c r="M151" s="62"/>
      <c r="N151" s="62"/>
      <c r="O151" s="62"/>
      <c r="P151" s="62"/>
      <c r="Q151" s="62"/>
      <c r="R151" s="63"/>
      <c r="S151" s="60"/>
      <c r="T151" s="63"/>
      <c r="U151" s="60"/>
      <c r="V151" s="60"/>
      <c r="W151" s="60"/>
      <c r="X151" s="64"/>
      <c r="Y151" s="64"/>
      <c r="Z151" s="64"/>
      <c r="AA151" s="63"/>
    </row>
    <row r="152" spans="2:27" s="59" customFormat="1" ht="22.5" customHeight="1" x14ac:dyDescent="0.25">
      <c r="B152" s="60"/>
      <c r="C152" s="60"/>
      <c r="D152" s="60"/>
      <c r="E152" s="60"/>
      <c r="F152" s="60"/>
      <c r="G152" s="60"/>
      <c r="H152" s="61"/>
      <c r="I152" s="62"/>
      <c r="J152" s="62"/>
      <c r="K152" s="62"/>
      <c r="L152" s="62"/>
      <c r="M152" s="62"/>
      <c r="N152" s="62"/>
      <c r="O152" s="62"/>
      <c r="P152" s="62"/>
      <c r="Q152" s="62"/>
      <c r="R152" s="63"/>
      <c r="S152" s="60"/>
      <c r="T152" s="63"/>
      <c r="U152" s="60"/>
      <c r="V152" s="60"/>
      <c r="W152" s="60"/>
      <c r="X152" s="64"/>
      <c r="Y152" s="64"/>
      <c r="Z152" s="64"/>
      <c r="AA152" s="63"/>
    </row>
    <row r="153" spans="2:27" s="59" customFormat="1" ht="22.5" customHeight="1" x14ac:dyDescent="0.25">
      <c r="B153" s="60"/>
      <c r="C153" s="60"/>
      <c r="D153" s="60"/>
      <c r="E153" s="60"/>
      <c r="F153" s="60"/>
      <c r="G153" s="60"/>
      <c r="H153" s="61"/>
      <c r="I153" s="62"/>
      <c r="J153" s="62"/>
      <c r="K153" s="62"/>
      <c r="L153" s="62"/>
      <c r="M153" s="62"/>
      <c r="N153" s="62"/>
      <c r="O153" s="62"/>
      <c r="P153" s="62"/>
      <c r="Q153" s="62"/>
      <c r="R153" s="63"/>
      <c r="S153" s="60"/>
      <c r="T153" s="63"/>
      <c r="U153" s="60"/>
      <c r="V153" s="60"/>
      <c r="W153" s="60"/>
      <c r="X153" s="64"/>
      <c r="Y153" s="64"/>
      <c r="Z153" s="64"/>
      <c r="AA153" s="63"/>
    </row>
    <row r="154" spans="2:27" s="59" customFormat="1" ht="22.5" customHeight="1" x14ac:dyDescent="0.25">
      <c r="B154" s="60"/>
      <c r="C154" s="60"/>
      <c r="D154" s="60"/>
      <c r="E154" s="60"/>
      <c r="F154" s="60"/>
      <c r="G154" s="60"/>
      <c r="H154" s="61"/>
      <c r="I154" s="62"/>
      <c r="J154" s="62"/>
      <c r="K154" s="62"/>
      <c r="L154" s="62"/>
      <c r="M154" s="62"/>
      <c r="N154" s="62"/>
      <c r="O154" s="62"/>
      <c r="P154" s="62"/>
      <c r="Q154" s="62"/>
      <c r="R154" s="63"/>
      <c r="S154" s="60"/>
      <c r="T154" s="63"/>
      <c r="U154" s="60"/>
      <c r="V154" s="60"/>
      <c r="W154" s="60"/>
      <c r="X154" s="64"/>
      <c r="Y154" s="64"/>
      <c r="Z154" s="64"/>
      <c r="AA154" s="63"/>
    </row>
    <row r="155" spans="2:27" s="59" customFormat="1" ht="22.5" customHeight="1" x14ac:dyDescent="0.25">
      <c r="B155" s="60"/>
      <c r="C155" s="60"/>
      <c r="D155" s="60"/>
      <c r="E155" s="60"/>
      <c r="F155" s="60"/>
      <c r="G155" s="60"/>
      <c r="H155" s="61"/>
      <c r="I155" s="62"/>
      <c r="J155" s="62"/>
      <c r="K155" s="62"/>
      <c r="L155" s="62"/>
      <c r="M155" s="62"/>
      <c r="N155" s="62"/>
      <c r="O155" s="62"/>
      <c r="P155" s="62"/>
      <c r="Q155" s="62"/>
      <c r="R155" s="63"/>
      <c r="S155" s="60"/>
      <c r="T155" s="63"/>
      <c r="U155" s="60"/>
      <c r="V155" s="60"/>
      <c r="W155" s="60"/>
      <c r="X155" s="64"/>
      <c r="Y155" s="64"/>
      <c r="Z155" s="64"/>
      <c r="AA155" s="63"/>
    </row>
    <row r="156" spans="2:27" s="59" customFormat="1" ht="22.5" customHeight="1" x14ac:dyDescent="0.25">
      <c r="B156" s="60"/>
      <c r="C156" s="60"/>
      <c r="D156" s="60"/>
      <c r="E156" s="60"/>
      <c r="F156" s="60"/>
      <c r="G156" s="60"/>
      <c r="H156" s="61"/>
      <c r="I156" s="62"/>
      <c r="J156" s="62"/>
      <c r="K156" s="62"/>
      <c r="L156" s="62"/>
      <c r="M156" s="62"/>
      <c r="N156" s="62"/>
      <c r="O156" s="62"/>
      <c r="P156" s="62"/>
      <c r="Q156" s="62"/>
      <c r="R156" s="63"/>
      <c r="S156" s="60"/>
      <c r="T156" s="63"/>
      <c r="U156" s="60"/>
      <c r="V156" s="60"/>
      <c r="W156" s="60"/>
      <c r="X156" s="64"/>
      <c r="Y156" s="64"/>
      <c r="Z156" s="64"/>
      <c r="AA156" s="63"/>
    </row>
    <row r="157" spans="2:27" s="59" customFormat="1" ht="22.5" customHeight="1" x14ac:dyDescent="0.25">
      <c r="B157" s="60"/>
      <c r="C157" s="60"/>
      <c r="D157" s="60"/>
      <c r="E157" s="60"/>
      <c r="F157" s="60"/>
      <c r="G157" s="60"/>
      <c r="H157" s="61"/>
      <c r="I157" s="62"/>
      <c r="J157" s="62"/>
      <c r="K157" s="62"/>
      <c r="L157" s="62"/>
      <c r="M157" s="62"/>
      <c r="N157" s="62"/>
      <c r="O157" s="62"/>
      <c r="P157" s="62"/>
      <c r="Q157" s="62"/>
      <c r="R157" s="63"/>
      <c r="S157" s="60"/>
      <c r="T157" s="63"/>
      <c r="U157" s="60"/>
      <c r="V157" s="60"/>
      <c r="W157" s="60"/>
      <c r="X157" s="64"/>
      <c r="Y157" s="64"/>
      <c r="Z157" s="64"/>
      <c r="AA157" s="63"/>
    </row>
    <row r="158" spans="2:27" s="59" customFormat="1" ht="22.5" customHeight="1" x14ac:dyDescent="0.25">
      <c r="B158" s="60"/>
      <c r="C158" s="60"/>
      <c r="D158" s="60"/>
      <c r="E158" s="60"/>
      <c r="F158" s="60"/>
      <c r="G158" s="60"/>
      <c r="H158" s="61"/>
      <c r="I158" s="62"/>
      <c r="J158" s="62"/>
      <c r="K158" s="62"/>
      <c r="L158" s="62"/>
      <c r="M158" s="62"/>
      <c r="N158" s="62"/>
      <c r="O158" s="62"/>
      <c r="P158" s="62"/>
      <c r="Q158" s="62"/>
      <c r="R158" s="63"/>
      <c r="S158" s="60"/>
      <c r="T158" s="63"/>
      <c r="U158" s="60"/>
      <c r="V158" s="60"/>
      <c r="W158" s="60"/>
      <c r="X158" s="64"/>
      <c r="Y158" s="64"/>
      <c r="Z158" s="64"/>
      <c r="AA158" s="63"/>
    </row>
    <row r="159" spans="2:27" s="59" customFormat="1" ht="22.5" customHeight="1" x14ac:dyDescent="0.25">
      <c r="B159" s="60"/>
      <c r="C159" s="60"/>
      <c r="D159" s="60"/>
      <c r="E159" s="60"/>
      <c r="F159" s="60"/>
      <c r="G159" s="60"/>
      <c r="H159" s="61"/>
      <c r="I159" s="62"/>
      <c r="J159" s="62"/>
      <c r="K159" s="62"/>
      <c r="L159" s="62"/>
      <c r="M159" s="62"/>
      <c r="N159" s="62"/>
      <c r="O159" s="62"/>
      <c r="P159" s="62"/>
      <c r="Q159" s="62"/>
      <c r="R159" s="63"/>
      <c r="S159" s="60"/>
      <c r="T159" s="63"/>
      <c r="U159" s="60"/>
      <c r="V159" s="60"/>
      <c r="W159" s="60"/>
      <c r="X159" s="64"/>
      <c r="Y159" s="64"/>
      <c r="Z159" s="64"/>
      <c r="AA159" s="63"/>
    </row>
    <row r="160" spans="2:27" s="59" customFormat="1" ht="22.5" customHeight="1" x14ac:dyDescent="0.25">
      <c r="B160" s="60"/>
      <c r="C160" s="60"/>
      <c r="D160" s="60"/>
      <c r="E160" s="60"/>
      <c r="F160" s="60"/>
      <c r="G160" s="60"/>
      <c r="H160" s="61"/>
      <c r="I160" s="62"/>
      <c r="J160" s="62"/>
      <c r="K160" s="62"/>
      <c r="L160" s="62"/>
      <c r="M160" s="62"/>
      <c r="N160" s="62"/>
      <c r="O160" s="62"/>
      <c r="P160" s="62"/>
      <c r="Q160" s="62"/>
      <c r="R160" s="63"/>
      <c r="S160" s="60"/>
      <c r="T160" s="63"/>
      <c r="U160" s="60"/>
      <c r="V160" s="60"/>
      <c r="W160" s="60"/>
      <c r="X160" s="64"/>
      <c r="Y160" s="64"/>
      <c r="Z160" s="64"/>
      <c r="AA160" s="63"/>
    </row>
    <row r="161" spans="2:27" s="59" customFormat="1" ht="22.5" customHeight="1" x14ac:dyDescent="0.25">
      <c r="B161" s="60"/>
      <c r="C161" s="60"/>
      <c r="D161" s="60"/>
      <c r="E161" s="60"/>
      <c r="F161" s="60"/>
      <c r="G161" s="60"/>
      <c r="H161" s="61"/>
      <c r="I161" s="62"/>
      <c r="J161" s="62"/>
      <c r="K161" s="62"/>
      <c r="L161" s="62"/>
      <c r="M161" s="62"/>
      <c r="N161" s="62"/>
      <c r="O161" s="62"/>
      <c r="P161" s="62"/>
      <c r="Q161" s="62"/>
      <c r="R161" s="63"/>
      <c r="S161" s="60"/>
      <c r="T161" s="63"/>
      <c r="U161" s="60"/>
      <c r="V161" s="60"/>
      <c r="W161" s="60"/>
      <c r="X161" s="64"/>
      <c r="Y161" s="64"/>
      <c r="Z161" s="64"/>
      <c r="AA161" s="63"/>
    </row>
    <row r="162" spans="2:27" s="59" customFormat="1" ht="22.5" customHeight="1" x14ac:dyDescent="0.25">
      <c r="B162" s="60"/>
      <c r="C162" s="60"/>
      <c r="D162" s="60"/>
      <c r="E162" s="60"/>
      <c r="F162" s="60"/>
      <c r="G162" s="60"/>
      <c r="H162" s="61"/>
      <c r="I162" s="62"/>
      <c r="J162" s="62"/>
      <c r="K162" s="62"/>
      <c r="L162" s="62"/>
      <c r="M162" s="62"/>
      <c r="N162" s="62"/>
      <c r="O162" s="62"/>
      <c r="P162" s="62"/>
      <c r="Q162" s="62"/>
      <c r="R162" s="63"/>
      <c r="S162" s="60"/>
      <c r="T162" s="63"/>
      <c r="U162" s="60"/>
      <c r="V162" s="60"/>
      <c r="W162" s="60"/>
      <c r="X162" s="64"/>
      <c r="Y162" s="64"/>
      <c r="Z162" s="64"/>
      <c r="AA162" s="63"/>
    </row>
    <row r="163" spans="2:27" s="59" customFormat="1" ht="22.5" customHeight="1" x14ac:dyDescent="0.25">
      <c r="B163" s="60"/>
      <c r="C163" s="60"/>
      <c r="D163" s="60"/>
      <c r="E163" s="60"/>
      <c r="F163" s="60"/>
      <c r="G163" s="60"/>
      <c r="H163" s="61"/>
      <c r="I163" s="62"/>
      <c r="J163" s="62"/>
      <c r="K163" s="62"/>
      <c r="L163" s="62"/>
      <c r="M163" s="62"/>
      <c r="N163" s="62"/>
      <c r="O163" s="62"/>
      <c r="P163" s="62"/>
      <c r="Q163" s="62"/>
      <c r="R163" s="63"/>
      <c r="S163" s="60"/>
      <c r="T163" s="63"/>
      <c r="U163" s="60"/>
      <c r="V163" s="60"/>
      <c r="W163" s="60"/>
      <c r="X163" s="64"/>
      <c r="Y163" s="64"/>
      <c r="Z163" s="64"/>
      <c r="AA163" s="63"/>
    </row>
    <row r="164" spans="2:27" s="59" customFormat="1" ht="22.5" customHeight="1" x14ac:dyDescent="0.25">
      <c r="B164" s="60"/>
      <c r="C164" s="60"/>
      <c r="D164" s="60"/>
      <c r="E164" s="60"/>
      <c r="F164" s="60"/>
      <c r="G164" s="60"/>
      <c r="H164" s="61"/>
      <c r="I164" s="62"/>
      <c r="J164" s="62"/>
      <c r="K164" s="62"/>
      <c r="L164" s="62"/>
      <c r="M164" s="62"/>
      <c r="N164" s="62"/>
      <c r="O164" s="62"/>
      <c r="P164" s="62"/>
      <c r="Q164" s="62"/>
      <c r="R164" s="63"/>
      <c r="S164" s="60"/>
      <c r="T164" s="63"/>
      <c r="U164" s="60"/>
      <c r="V164" s="60"/>
      <c r="W164" s="60"/>
      <c r="X164" s="64"/>
      <c r="Y164" s="64"/>
      <c r="Z164" s="64"/>
      <c r="AA164" s="63"/>
    </row>
    <row r="165" spans="2:27" s="59" customFormat="1" ht="22.5" customHeight="1" x14ac:dyDescent="0.25">
      <c r="B165" s="60"/>
      <c r="C165" s="60"/>
      <c r="D165" s="60"/>
      <c r="E165" s="60"/>
      <c r="F165" s="60"/>
      <c r="G165" s="60"/>
      <c r="H165" s="61"/>
      <c r="I165" s="62"/>
      <c r="J165" s="62"/>
      <c r="K165" s="62"/>
      <c r="L165" s="62"/>
      <c r="M165" s="62"/>
      <c r="N165" s="62"/>
      <c r="O165" s="62"/>
      <c r="P165" s="62"/>
      <c r="Q165" s="62"/>
      <c r="R165" s="63"/>
      <c r="S165" s="60"/>
      <c r="T165" s="63"/>
      <c r="U165" s="60"/>
      <c r="V165" s="60"/>
      <c r="W165" s="60"/>
      <c r="X165" s="64"/>
      <c r="Y165" s="64"/>
      <c r="Z165" s="64"/>
      <c r="AA165" s="63"/>
    </row>
    <row r="166" spans="2:27" s="59" customFormat="1" ht="22.5" customHeight="1" x14ac:dyDescent="0.25">
      <c r="B166" s="60"/>
      <c r="C166" s="60"/>
      <c r="D166" s="60"/>
      <c r="E166" s="60"/>
      <c r="F166" s="60"/>
      <c r="G166" s="60"/>
      <c r="H166" s="61"/>
      <c r="I166" s="62"/>
      <c r="J166" s="62"/>
      <c r="K166" s="62"/>
      <c r="L166" s="62"/>
      <c r="M166" s="62"/>
      <c r="N166" s="62"/>
      <c r="O166" s="62"/>
      <c r="P166" s="62"/>
      <c r="Q166" s="62"/>
      <c r="R166" s="63"/>
      <c r="S166" s="60"/>
      <c r="T166" s="63"/>
      <c r="U166" s="60"/>
      <c r="V166" s="60"/>
      <c r="W166" s="60"/>
      <c r="X166" s="64"/>
      <c r="Y166" s="64"/>
      <c r="Z166" s="64"/>
      <c r="AA166" s="63"/>
    </row>
    <row r="167" spans="2:27" s="59" customFormat="1" ht="22.5" customHeight="1" x14ac:dyDescent="0.25">
      <c r="B167" s="60"/>
      <c r="C167" s="60"/>
      <c r="D167" s="60"/>
      <c r="E167" s="60"/>
      <c r="F167" s="60"/>
      <c r="G167" s="60"/>
      <c r="H167" s="61"/>
      <c r="I167" s="62"/>
      <c r="J167" s="62"/>
      <c r="K167" s="62"/>
      <c r="L167" s="62"/>
      <c r="M167" s="62"/>
      <c r="N167" s="62"/>
      <c r="O167" s="62"/>
      <c r="P167" s="62"/>
      <c r="Q167" s="62"/>
      <c r="R167" s="63"/>
      <c r="S167" s="60"/>
      <c r="T167" s="63"/>
      <c r="U167" s="60"/>
      <c r="V167" s="60"/>
      <c r="W167" s="60"/>
      <c r="X167" s="64"/>
      <c r="Y167" s="64"/>
      <c r="Z167" s="64"/>
      <c r="AA167" s="63"/>
    </row>
    <row r="168" spans="2:27" s="59" customFormat="1" ht="22.5" customHeight="1" x14ac:dyDescent="0.25">
      <c r="B168" s="60"/>
      <c r="C168" s="60"/>
      <c r="D168" s="60"/>
      <c r="E168" s="60"/>
      <c r="F168" s="60"/>
      <c r="G168" s="60"/>
      <c r="H168" s="61"/>
      <c r="I168" s="62"/>
      <c r="J168" s="62"/>
      <c r="K168" s="62"/>
      <c r="L168" s="62"/>
      <c r="M168" s="62"/>
      <c r="N168" s="62"/>
      <c r="O168" s="62"/>
      <c r="P168" s="62"/>
      <c r="Q168" s="62"/>
      <c r="R168" s="63"/>
      <c r="S168" s="60"/>
      <c r="T168" s="63"/>
      <c r="U168" s="60"/>
      <c r="V168" s="60"/>
      <c r="W168" s="60"/>
      <c r="X168" s="64"/>
      <c r="Y168" s="64"/>
      <c r="Z168" s="64"/>
      <c r="AA168" s="63"/>
    </row>
    <row r="169" spans="2:27" s="59" customFormat="1" ht="22.5" customHeight="1" x14ac:dyDescent="0.25">
      <c r="B169" s="60"/>
      <c r="C169" s="60"/>
      <c r="D169" s="60"/>
      <c r="E169" s="60"/>
      <c r="F169" s="60"/>
      <c r="G169" s="60"/>
      <c r="H169" s="61"/>
      <c r="I169" s="62"/>
      <c r="J169" s="62"/>
      <c r="K169" s="62"/>
      <c r="L169" s="62"/>
      <c r="M169" s="62"/>
      <c r="N169" s="62"/>
      <c r="O169" s="62"/>
      <c r="P169" s="62"/>
      <c r="Q169" s="62"/>
      <c r="R169" s="63"/>
      <c r="S169" s="60"/>
      <c r="T169" s="63"/>
      <c r="U169" s="60"/>
      <c r="V169" s="60"/>
      <c r="W169" s="60"/>
      <c r="X169" s="64"/>
      <c r="Y169" s="64"/>
      <c r="Z169" s="64"/>
      <c r="AA169" s="63"/>
    </row>
    <row r="170" spans="2:27" s="59" customFormat="1" ht="22.5" customHeight="1" x14ac:dyDescent="0.25">
      <c r="B170" s="60"/>
      <c r="C170" s="60"/>
      <c r="D170" s="60"/>
      <c r="E170" s="60"/>
      <c r="F170" s="60"/>
      <c r="G170" s="60"/>
      <c r="H170" s="61"/>
      <c r="I170" s="62"/>
      <c r="J170" s="62"/>
      <c r="K170" s="62"/>
      <c r="L170" s="62"/>
      <c r="M170" s="62"/>
      <c r="N170" s="62"/>
      <c r="O170" s="62"/>
      <c r="P170" s="62"/>
      <c r="Q170" s="62"/>
      <c r="R170" s="63"/>
      <c r="S170" s="60"/>
      <c r="T170" s="63"/>
      <c r="U170" s="60"/>
      <c r="V170" s="60"/>
      <c r="W170" s="60"/>
      <c r="X170" s="64"/>
      <c r="Y170" s="64"/>
      <c r="Z170" s="64"/>
      <c r="AA170" s="63"/>
    </row>
    <row r="171" spans="2:27" s="59" customFormat="1" ht="22.5" customHeight="1" x14ac:dyDescent="0.25">
      <c r="B171" s="60"/>
      <c r="C171" s="60"/>
      <c r="D171" s="60"/>
      <c r="E171" s="60"/>
      <c r="F171" s="60"/>
      <c r="G171" s="60"/>
      <c r="H171" s="61"/>
      <c r="I171" s="62"/>
      <c r="J171" s="62"/>
      <c r="K171" s="62"/>
      <c r="L171" s="62"/>
      <c r="M171" s="62"/>
      <c r="N171" s="62"/>
      <c r="O171" s="62"/>
      <c r="P171" s="62"/>
      <c r="Q171" s="62"/>
      <c r="R171" s="63"/>
      <c r="S171" s="60"/>
      <c r="T171" s="63"/>
      <c r="U171" s="60"/>
      <c r="V171" s="60"/>
      <c r="W171" s="60"/>
      <c r="X171" s="64"/>
      <c r="Y171" s="64"/>
      <c r="Z171" s="64"/>
      <c r="AA171" s="63"/>
    </row>
    <row r="172" spans="2:27" s="59" customFormat="1" ht="22.5" customHeight="1" x14ac:dyDescent="0.25">
      <c r="B172" s="60"/>
      <c r="C172" s="60"/>
      <c r="D172" s="60"/>
      <c r="E172" s="60"/>
      <c r="F172" s="60"/>
      <c r="G172" s="60"/>
      <c r="H172" s="61"/>
      <c r="I172" s="62"/>
      <c r="J172" s="62"/>
      <c r="K172" s="62"/>
      <c r="L172" s="62"/>
      <c r="M172" s="62"/>
      <c r="N172" s="62"/>
      <c r="O172" s="62"/>
      <c r="P172" s="62"/>
      <c r="Q172" s="62"/>
      <c r="R172" s="63"/>
      <c r="S172" s="60"/>
      <c r="T172" s="63"/>
      <c r="U172" s="60"/>
      <c r="V172" s="60"/>
      <c r="W172" s="60"/>
      <c r="X172" s="64"/>
      <c r="Y172" s="64"/>
      <c r="Z172" s="64"/>
      <c r="AA172" s="63"/>
    </row>
    <row r="173" spans="2:27" s="59" customFormat="1" ht="22.5" customHeight="1" x14ac:dyDescent="0.25">
      <c r="B173" s="60"/>
      <c r="C173" s="60"/>
      <c r="D173" s="60"/>
      <c r="E173" s="60"/>
      <c r="F173" s="60"/>
      <c r="G173" s="60"/>
      <c r="H173" s="61"/>
      <c r="I173" s="62"/>
      <c r="J173" s="62"/>
      <c r="K173" s="62"/>
      <c r="L173" s="62"/>
      <c r="M173" s="62"/>
      <c r="N173" s="62"/>
      <c r="O173" s="62"/>
      <c r="P173" s="62"/>
      <c r="Q173" s="62"/>
      <c r="R173" s="63"/>
      <c r="S173" s="60"/>
      <c r="T173" s="63"/>
      <c r="U173" s="60"/>
      <c r="V173" s="60"/>
      <c r="W173" s="60"/>
      <c r="X173" s="64"/>
      <c r="Y173" s="64"/>
      <c r="Z173" s="64"/>
      <c r="AA173" s="63"/>
    </row>
    <row r="174" spans="2:27" s="59" customFormat="1" ht="22.5" customHeight="1" x14ac:dyDescent="0.25">
      <c r="B174" s="60"/>
      <c r="C174" s="60"/>
      <c r="D174" s="60"/>
      <c r="E174" s="60"/>
      <c r="F174" s="60"/>
      <c r="G174" s="60"/>
      <c r="H174" s="61"/>
      <c r="I174" s="62"/>
      <c r="J174" s="62"/>
      <c r="K174" s="62"/>
      <c r="L174" s="62"/>
      <c r="M174" s="62"/>
      <c r="N174" s="62"/>
      <c r="O174" s="62"/>
      <c r="P174" s="62"/>
      <c r="Q174" s="62"/>
      <c r="R174" s="63"/>
      <c r="S174" s="60"/>
      <c r="T174" s="63"/>
      <c r="U174" s="60"/>
      <c r="V174" s="60"/>
      <c r="W174" s="60"/>
      <c r="X174" s="64"/>
      <c r="Y174" s="64"/>
      <c r="Z174" s="64"/>
      <c r="AA174" s="63"/>
    </row>
    <row r="175" spans="2:27" s="59" customFormat="1" ht="22.5" customHeight="1" x14ac:dyDescent="0.25">
      <c r="B175" s="60"/>
      <c r="C175" s="60"/>
      <c r="D175" s="60"/>
      <c r="E175" s="60"/>
      <c r="F175" s="60"/>
      <c r="G175" s="60"/>
      <c r="H175" s="61"/>
      <c r="I175" s="62"/>
      <c r="J175" s="62"/>
      <c r="K175" s="62"/>
      <c r="L175" s="62"/>
      <c r="M175" s="62"/>
      <c r="N175" s="62"/>
      <c r="O175" s="62"/>
      <c r="P175" s="62"/>
      <c r="Q175" s="62"/>
      <c r="R175" s="63"/>
      <c r="S175" s="60"/>
      <c r="T175" s="63"/>
      <c r="U175" s="60"/>
      <c r="V175" s="60"/>
      <c r="W175" s="60"/>
      <c r="X175" s="64"/>
      <c r="Y175" s="64"/>
      <c r="Z175" s="64"/>
      <c r="AA175" s="63"/>
    </row>
    <row r="176" spans="2:27" s="59" customFormat="1" ht="22.5" customHeight="1" x14ac:dyDescent="0.25">
      <c r="B176" s="60"/>
      <c r="C176" s="60"/>
      <c r="D176" s="60"/>
      <c r="E176" s="60"/>
      <c r="F176" s="60"/>
      <c r="G176" s="60"/>
      <c r="H176" s="61"/>
      <c r="I176" s="62"/>
      <c r="J176" s="62"/>
      <c r="K176" s="62"/>
      <c r="L176" s="62"/>
      <c r="M176" s="62"/>
      <c r="N176" s="62"/>
      <c r="O176" s="62"/>
      <c r="P176" s="62"/>
      <c r="Q176" s="62"/>
      <c r="R176" s="63"/>
      <c r="S176" s="60"/>
      <c r="T176" s="63"/>
      <c r="U176" s="60"/>
      <c r="V176" s="60"/>
      <c r="W176" s="60"/>
      <c r="X176" s="64"/>
      <c r="Y176" s="64"/>
      <c r="Z176" s="64"/>
      <c r="AA176" s="63"/>
    </row>
    <row r="177" spans="2:27" s="59" customFormat="1" ht="22.5" customHeight="1" x14ac:dyDescent="0.25">
      <c r="B177" s="60"/>
      <c r="C177" s="60"/>
      <c r="D177" s="60"/>
      <c r="E177" s="60"/>
      <c r="F177" s="60"/>
      <c r="G177" s="60"/>
      <c r="H177" s="61"/>
      <c r="I177" s="62"/>
      <c r="J177" s="62"/>
      <c r="K177" s="62"/>
      <c r="L177" s="62"/>
      <c r="M177" s="62"/>
      <c r="N177" s="62"/>
      <c r="O177" s="62"/>
      <c r="P177" s="62"/>
      <c r="Q177" s="62"/>
      <c r="R177" s="63"/>
      <c r="S177" s="60"/>
      <c r="T177" s="63"/>
      <c r="U177" s="60"/>
      <c r="V177" s="60"/>
      <c r="W177" s="60"/>
      <c r="X177" s="64"/>
      <c r="Y177" s="64"/>
      <c r="Z177" s="64"/>
      <c r="AA177" s="63"/>
    </row>
    <row r="178" spans="2:27" s="59" customFormat="1" ht="22.5" customHeight="1" x14ac:dyDescent="0.25">
      <c r="B178" s="60"/>
      <c r="C178" s="60"/>
      <c r="D178" s="60"/>
      <c r="E178" s="60"/>
      <c r="F178" s="60"/>
      <c r="G178" s="60"/>
      <c r="H178" s="61"/>
      <c r="I178" s="62"/>
      <c r="J178" s="62"/>
      <c r="K178" s="62"/>
      <c r="L178" s="62"/>
      <c r="M178" s="62"/>
      <c r="N178" s="62"/>
      <c r="O178" s="62"/>
      <c r="P178" s="62"/>
      <c r="Q178" s="62"/>
      <c r="R178" s="63"/>
      <c r="S178" s="60"/>
      <c r="T178" s="63"/>
      <c r="U178" s="60"/>
      <c r="V178" s="60"/>
      <c r="W178" s="60"/>
      <c r="X178" s="64"/>
      <c r="Y178" s="64"/>
      <c r="Z178" s="64"/>
      <c r="AA178" s="63"/>
    </row>
    <row r="179" spans="2:27" s="59" customFormat="1" ht="22.5" customHeight="1" x14ac:dyDescent="0.25">
      <c r="B179" s="60"/>
      <c r="C179" s="60"/>
      <c r="D179" s="60"/>
      <c r="E179" s="60"/>
      <c r="F179" s="60"/>
      <c r="G179" s="60"/>
      <c r="H179" s="61"/>
      <c r="I179" s="62"/>
      <c r="J179" s="62"/>
      <c r="K179" s="62"/>
      <c r="L179" s="62"/>
      <c r="M179" s="62"/>
      <c r="N179" s="62"/>
      <c r="O179" s="62"/>
      <c r="P179" s="62"/>
      <c r="Q179" s="62"/>
      <c r="R179" s="63"/>
      <c r="S179" s="60"/>
      <c r="T179" s="63"/>
      <c r="U179" s="60"/>
      <c r="V179" s="60"/>
      <c r="W179" s="60"/>
      <c r="X179" s="64"/>
      <c r="Y179" s="64"/>
      <c r="Z179" s="64"/>
      <c r="AA179" s="63"/>
    </row>
    <row r="180" spans="2:27" s="59" customFormat="1" ht="22.5" customHeight="1" x14ac:dyDescent="0.25">
      <c r="B180" s="60"/>
      <c r="C180" s="60"/>
      <c r="D180" s="60"/>
      <c r="E180" s="60"/>
      <c r="F180" s="60"/>
      <c r="G180" s="60"/>
      <c r="H180" s="61"/>
      <c r="I180" s="62"/>
      <c r="J180" s="62"/>
      <c r="K180" s="62"/>
      <c r="L180" s="62"/>
      <c r="M180" s="62"/>
      <c r="N180" s="62"/>
      <c r="O180" s="62"/>
      <c r="P180" s="62"/>
      <c r="Q180" s="62"/>
      <c r="R180" s="63"/>
      <c r="S180" s="60"/>
      <c r="T180" s="63"/>
      <c r="U180" s="60"/>
      <c r="V180" s="60"/>
      <c r="W180" s="60"/>
      <c r="X180" s="64"/>
      <c r="Y180" s="64"/>
      <c r="Z180" s="64"/>
      <c r="AA180" s="63"/>
    </row>
    <row r="181" spans="2:27" s="59" customFormat="1" ht="22.5" customHeight="1" x14ac:dyDescent="0.25">
      <c r="B181" s="60"/>
      <c r="C181" s="60"/>
      <c r="D181" s="60"/>
      <c r="E181" s="60"/>
      <c r="F181" s="60"/>
      <c r="G181" s="60"/>
      <c r="H181" s="61"/>
      <c r="I181" s="62"/>
      <c r="J181" s="62"/>
      <c r="K181" s="62"/>
      <c r="L181" s="62"/>
      <c r="M181" s="62"/>
      <c r="N181" s="62"/>
      <c r="O181" s="62"/>
      <c r="P181" s="62"/>
      <c r="Q181" s="62"/>
      <c r="R181" s="63"/>
      <c r="S181" s="60"/>
      <c r="T181" s="63"/>
      <c r="U181" s="60"/>
      <c r="V181" s="60"/>
      <c r="W181" s="60"/>
      <c r="X181" s="64"/>
      <c r="Y181" s="64"/>
      <c r="Z181" s="64"/>
      <c r="AA181" s="63"/>
    </row>
    <row r="182" spans="2:27" s="59" customFormat="1" ht="22.5" customHeight="1" x14ac:dyDescent="0.25">
      <c r="B182" s="60"/>
      <c r="C182" s="60"/>
      <c r="D182" s="60"/>
      <c r="E182" s="60"/>
      <c r="F182" s="60"/>
      <c r="G182" s="60"/>
      <c r="H182" s="61"/>
      <c r="I182" s="62"/>
      <c r="J182" s="62"/>
      <c r="K182" s="62"/>
      <c r="L182" s="62"/>
      <c r="M182" s="62"/>
      <c r="N182" s="62"/>
      <c r="O182" s="62"/>
      <c r="P182" s="62"/>
      <c r="Q182" s="62"/>
      <c r="R182" s="63"/>
      <c r="S182" s="60"/>
      <c r="T182" s="63"/>
      <c r="U182" s="60"/>
      <c r="V182" s="60"/>
      <c r="W182" s="60"/>
      <c r="X182" s="64"/>
      <c r="Y182" s="64"/>
      <c r="Z182" s="64"/>
      <c r="AA182" s="63"/>
    </row>
    <row r="183" spans="2:27" s="59" customFormat="1" ht="22.5" customHeight="1" x14ac:dyDescent="0.25">
      <c r="B183" s="60"/>
      <c r="C183" s="60"/>
      <c r="D183" s="60"/>
      <c r="E183" s="60"/>
      <c r="F183" s="60"/>
      <c r="G183" s="60"/>
      <c r="H183" s="61"/>
      <c r="I183" s="62"/>
      <c r="J183" s="62"/>
      <c r="K183" s="62"/>
      <c r="L183" s="62"/>
      <c r="M183" s="62"/>
      <c r="N183" s="62"/>
      <c r="O183" s="62"/>
      <c r="P183" s="62"/>
      <c r="Q183" s="62"/>
      <c r="R183" s="63"/>
      <c r="S183" s="60"/>
      <c r="T183" s="63"/>
      <c r="U183" s="60"/>
      <c r="V183" s="60"/>
      <c r="W183" s="60"/>
      <c r="X183" s="64"/>
      <c r="Y183" s="64"/>
      <c r="Z183" s="64"/>
      <c r="AA183" s="63"/>
    </row>
    <row r="184" spans="2:27" s="59" customFormat="1" ht="22.5" customHeight="1" x14ac:dyDescent="0.25">
      <c r="B184" s="60"/>
      <c r="C184" s="60"/>
      <c r="D184" s="60"/>
      <c r="E184" s="60"/>
      <c r="F184" s="60"/>
      <c r="G184" s="60"/>
      <c r="H184" s="61"/>
      <c r="I184" s="62"/>
      <c r="J184" s="62"/>
      <c r="K184" s="62"/>
      <c r="L184" s="62"/>
      <c r="M184" s="62"/>
      <c r="N184" s="62"/>
      <c r="O184" s="62"/>
      <c r="P184" s="62"/>
      <c r="Q184" s="62"/>
      <c r="R184" s="63"/>
      <c r="S184" s="60"/>
      <c r="T184" s="63"/>
      <c r="U184" s="60"/>
      <c r="V184" s="60"/>
      <c r="W184" s="60"/>
      <c r="X184" s="64"/>
      <c r="Y184" s="64"/>
      <c r="Z184" s="64"/>
      <c r="AA184" s="63"/>
    </row>
    <row r="185" spans="2:27" s="59" customFormat="1" ht="22.5" customHeight="1" x14ac:dyDescent="0.25">
      <c r="B185" s="60"/>
      <c r="C185" s="60"/>
      <c r="D185" s="60"/>
      <c r="E185" s="60"/>
      <c r="F185" s="60"/>
      <c r="G185" s="60"/>
      <c r="H185" s="61"/>
      <c r="I185" s="62"/>
      <c r="J185" s="62"/>
      <c r="K185" s="62"/>
      <c r="L185" s="62"/>
      <c r="M185" s="62"/>
      <c r="N185" s="62"/>
      <c r="O185" s="62"/>
      <c r="P185" s="62"/>
      <c r="Q185" s="62"/>
      <c r="R185" s="63"/>
      <c r="S185" s="60"/>
      <c r="T185" s="63"/>
      <c r="U185" s="60"/>
      <c r="V185" s="60"/>
      <c r="W185" s="60"/>
      <c r="X185" s="64"/>
      <c r="Y185" s="64"/>
      <c r="Z185" s="64"/>
      <c r="AA185" s="63"/>
    </row>
    <row r="186" spans="2:27" s="59" customFormat="1" ht="22.5" customHeight="1" x14ac:dyDescent="0.25">
      <c r="B186" s="60"/>
      <c r="C186" s="60"/>
      <c r="D186" s="60"/>
      <c r="E186" s="60"/>
      <c r="F186" s="60"/>
      <c r="G186" s="60"/>
      <c r="H186" s="61"/>
      <c r="I186" s="62"/>
      <c r="J186" s="62"/>
      <c r="K186" s="62"/>
      <c r="L186" s="62"/>
      <c r="M186" s="62"/>
      <c r="N186" s="62"/>
      <c r="O186" s="62"/>
      <c r="P186" s="62"/>
      <c r="Q186" s="62"/>
      <c r="R186" s="63"/>
      <c r="S186" s="60"/>
      <c r="T186" s="63"/>
      <c r="U186" s="60"/>
      <c r="V186" s="60"/>
      <c r="W186" s="60"/>
      <c r="X186" s="64"/>
      <c r="Y186" s="64"/>
      <c r="Z186" s="64"/>
      <c r="AA186" s="63"/>
    </row>
    <row r="187" spans="2:27" s="59" customFormat="1" ht="22.5" customHeight="1" x14ac:dyDescent="0.25">
      <c r="B187" s="60"/>
      <c r="C187" s="60"/>
      <c r="D187" s="60"/>
      <c r="E187" s="60"/>
      <c r="F187" s="60"/>
      <c r="G187" s="60"/>
      <c r="H187" s="61"/>
      <c r="I187" s="62"/>
      <c r="J187" s="62"/>
      <c r="K187" s="62"/>
      <c r="L187" s="62"/>
      <c r="M187" s="62"/>
      <c r="N187" s="62"/>
      <c r="O187" s="62"/>
      <c r="P187" s="62"/>
      <c r="Q187" s="62"/>
      <c r="R187" s="63"/>
      <c r="S187" s="60"/>
      <c r="T187" s="63"/>
      <c r="U187" s="60"/>
      <c r="V187" s="60"/>
      <c r="W187" s="60"/>
      <c r="X187" s="64"/>
      <c r="Y187" s="64"/>
      <c r="Z187" s="64"/>
      <c r="AA187" s="63"/>
    </row>
    <row r="188" spans="2:27" s="59" customFormat="1" ht="22.5" customHeight="1" x14ac:dyDescent="0.25">
      <c r="B188" s="60"/>
      <c r="C188" s="60"/>
      <c r="D188" s="60"/>
      <c r="E188" s="60"/>
      <c r="F188" s="60"/>
      <c r="G188" s="60"/>
      <c r="H188" s="61"/>
      <c r="I188" s="62"/>
      <c r="J188" s="62"/>
      <c r="K188" s="62"/>
      <c r="L188" s="62"/>
      <c r="M188" s="62"/>
      <c r="N188" s="62"/>
      <c r="O188" s="62"/>
      <c r="P188" s="62"/>
      <c r="Q188" s="62"/>
      <c r="R188" s="63"/>
      <c r="S188" s="60"/>
      <c r="T188" s="63"/>
      <c r="U188" s="60"/>
      <c r="V188" s="60"/>
      <c r="W188" s="60"/>
      <c r="X188" s="64"/>
      <c r="Y188" s="64"/>
      <c r="Z188" s="64"/>
      <c r="AA188" s="63"/>
    </row>
    <row r="189" spans="2:27" s="59" customFormat="1" ht="22.5" customHeight="1" x14ac:dyDescent="0.25">
      <c r="B189" s="60"/>
      <c r="C189" s="60"/>
      <c r="D189" s="60"/>
      <c r="E189" s="60"/>
      <c r="F189" s="60"/>
      <c r="G189" s="60"/>
      <c r="H189" s="61"/>
      <c r="I189" s="62"/>
      <c r="J189" s="62"/>
      <c r="K189" s="62"/>
      <c r="L189" s="62"/>
      <c r="M189" s="62"/>
      <c r="N189" s="62"/>
      <c r="O189" s="62"/>
      <c r="P189" s="62"/>
      <c r="Q189" s="62"/>
      <c r="R189" s="63"/>
      <c r="S189" s="60"/>
      <c r="T189" s="63"/>
      <c r="U189" s="60"/>
      <c r="V189" s="60"/>
      <c r="W189" s="60"/>
      <c r="X189" s="64"/>
      <c r="Y189" s="64"/>
      <c r="Z189" s="64"/>
      <c r="AA189" s="63"/>
    </row>
    <row r="190" spans="2:27" s="59" customFormat="1" ht="22.5" customHeight="1" x14ac:dyDescent="0.25">
      <c r="B190" s="60"/>
      <c r="C190" s="60"/>
      <c r="D190" s="60"/>
      <c r="E190" s="60"/>
      <c r="F190" s="60"/>
      <c r="G190" s="60"/>
      <c r="H190" s="61"/>
      <c r="I190" s="62"/>
      <c r="J190" s="62"/>
      <c r="K190" s="62"/>
      <c r="L190" s="62"/>
      <c r="M190" s="62"/>
      <c r="N190" s="62"/>
      <c r="O190" s="62"/>
      <c r="P190" s="62"/>
      <c r="Q190" s="62"/>
      <c r="R190" s="63"/>
      <c r="S190" s="60"/>
      <c r="T190" s="63"/>
      <c r="U190" s="60"/>
      <c r="V190" s="60"/>
      <c r="W190" s="60"/>
      <c r="X190" s="64"/>
      <c r="Y190" s="64"/>
      <c r="Z190" s="64"/>
      <c r="AA190" s="63"/>
    </row>
    <row r="191" spans="2:27" s="59" customFormat="1" ht="22.5" customHeight="1" x14ac:dyDescent="0.25">
      <c r="B191" s="60"/>
      <c r="C191" s="60"/>
      <c r="D191" s="60"/>
      <c r="E191" s="60"/>
      <c r="F191" s="60"/>
      <c r="G191" s="60"/>
      <c r="H191" s="61"/>
      <c r="I191" s="62"/>
      <c r="J191" s="62"/>
      <c r="K191" s="62"/>
      <c r="L191" s="62"/>
      <c r="M191" s="62"/>
      <c r="N191" s="62"/>
      <c r="O191" s="62"/>
      <c r="P191" s="62"/>
      <c r="Q191" s="62"/>
      <c r="R191" s="63"/>
      <c r="S191" s="60"/>
      <c r="T191" s="63"/>
      <c r="U191" s="60"/>
      <c r="V191" s="60"/>
      <c r="W191" s="60"/>
      <c r="X191" s="64"/>
      <c r="Y191" s="64"/>
      <c r="Z191" s="64"/>
      <c r="AA191" s="63"/>
    </row>
    <row r="192" spans="2:27" s="59" customFormat="1" ht="22.5" customHeight="1" x14ac:dyDescent="0.25">
      <c r="B192" s="60"/>
      <c r="C192" s="60"/>
      <c r="D192" s="60"/>
      <c r="E192" s="60"/>
      <c r="F192" s="60"/>
      <c r="G192" s="60"/>
      <c r="H192" s="61"/>
      <c r="I192" s="62"/>
      <c r="J192" s="62"/>
      <c r="K192" s="62"/>
      <c r="L192" s="62"/>
      <c r="M192" s="62"/>
      <c r="N192" s="62"/>
      <c r="O192" s="62"/>
      <c r="P192" s="62"/>
      <c r="Q192" s="62"/>
      <c r="R192" s="63"/>
      <c r="S192" s="60"/>
      <c r="T192" s="63"/>
      <c r="U192" s="60"/>
      <c r="V192" s="60"/>
      <c r="W192" s="60"/>
      <c r="X192" s="64"/>
      <c r="Y192" s="64"/>
      <c r="Z192" s="64"/>
      <c r="AA192" s="63"/>
    </row>
    <row r="193" spans="2:27" s="59" customFormat="1" ht="22.5" customHeight="1" x14ac:dyDescent="0.25">
      <c r="B193" s="60"/>
      <c r="C193" s="60"/>
      <c r="D193" s="60"/>
      <c r="E193" s="60"/>
      <c r="F193" s="60"/>
      <c r="G193" s="60"/>
      <c r="H193" s="61"/>
      <c r="I193" s="62"/>
      <c r="J193" s="62"/>
      <c r="K193" s="62"/>
      <c r="L193" s="62"/>
      <c r="M193" s="62"/>
      <c r="N193" s="62"/>
      <c r="O193" s="62"/>
      <c r="P193" s="62"/>
      <c r="Q193" s="62"/>
      <c r="R193" s="63"/>
      <c r="S193" s="60"/>
      <c r="T193" s="63"/>
      <c r="U193" s="60"/>
      <c r="V193" s="60"/>
      <c r="W193" s="60"/>
      <c r="X193" s="64"/>
      <c r="Y193" s="64"/>
      <c r="Z193" s="64"/>
      <c r="AA193" s="63"/>
    </row>
    <row r="194" spans="2:27" s="59" customFormat="1" ht="22.5" customHeight="1" x14ac:dyDescent="0.25">
      <c r="B194" s="60"/>
      <c r="C194" s="60"/>
      <c r="D194" s="60"/>
      <c r="E194" s="60"/>
      <c r="F194" s="60"/>
      <c r="G194" s="60"/>
      <c r="H194" s="61"/>
      <c r="I194" s="62"/>
      <c r="J194" s="62"/>
      <c r="K194" s="62"/>
      <c r="L194" s="62"/>
      <c r="M194" s="62"/>
      <c r="N194" s="62"/>
      <c r="O194" s="62"/>
      <c r="P194" s="62"/>
      <c r="Q194" s="62"/>
      <c r="R194" s="63"/>
      <c r="S194" s="60"/>
      <c r="T194" s="63"/>
      <c r="U194" s="60"/>
      <c r="V194" s="60"/>
      <c r="W194" s="60"/>
      <c r="X194" s="64"/>
      <c r="Y194" s="64"/>
      <c r="Z194" s="64"/>
      <c r="AA194" s="63"/>
    </row>
    <row r="195" spans="2:27" s="59" customFormat="1" ht="22.5" customHeight="1" x14ac:dyDescent="0.25">
      <c r="B195" s="60"/>
      <c r="C195" s="60"/>
      <c r="D195" s="60"/>
      <c r="E195" s="60"/>
      <c r="F195" s="60"/>
      <c r="G195" s="60"/>
      <c r="H195" s="61"/>
      <c r="I195" s="62"/>
      <c r="J195" s="62"/>
      <c r="K195" s="62"/>
      <c r="L195" s="62"/>
      <c r="M195" s="62"/>
      <c r="N195" s="62"/>
      <c r="O195" s="62"/>
      <c r="P195" s="62"/>
      <c r="Q195" s="62"/>
      <c r="R195" s="63"/>
      <c r="S195" s="60"/>
      <c r="T195" s="63"/>
      <c r="U195" s="60"/>
      <c r="V195" s="60"/>
      <c r="W195" s="60"/>
      <c r="X195" s="64"/>
      <c r="Y195" s="64"/>
      <c r="Z195" s="64"/>
      <c r="AA195" s="63"/>
    </row>
    <row r="196" spans="2:27" s="59" customFormat="1" ht="22.5" customHeight="1" x14ac:dyDescent="0.25">
      <c r="B196" s="60"/>
      <c r="C196" s="60"/>
      <c r="D196" s="60"/>
      <c r="E196" s="60"/>
      <c r="F196" s="60"/>
      <c r="G196" s="60"/>
      <c r="H196" s="61"/>
      <c r="I196" s="62"/>
      <c r="J196" s="62"/>
      <c r="K196" s="62"/>
      <c r="L196" s="62"/>
      <c r="M196" s="62"/>
      <c r="N196" s="62"/>
      <c r="O196" s="62"/>
      <c r="P196" s="62"/>
      <c r="Q196" s="62"/>
      <c r="R196" s="63"/>
      <c r="S196" s="60"/>
      <c r="T196" s="63"/>
      <c r="U196" s="60"/>
      <c r="V196" s="60"/>
      <c r="W196" s="60"/>
      <c r="X196" s="64"/>
      <c r="Y196" s="64"/>
      <c r="Z196" s="64"/>
      <c r="AA196" s="63"/>
    </row>
    <row r="197" spans="2:27" s="59" customFormat="1" ht="22.5" customHeight="1" x14ac:dyDescent="0.25">
      <c r="B197" s="60"/>
      <c r="C197" s="60"/>
      <c r="D197" s="60"/>
      <c r="E197" s="60"/>
      <c r="F197" s="60"/>
      <c r="G197" s="60"/>
      <c r="H197" s="61"/>
      <c r="I197" s="62"/>
      <c r="J197" s="62"/>
      <c r="K197" s="62"/>
      <c r="L197" s="62"/>
      <c r="M197" s="62"/>
      <c r="N197" s="62"/>
      <c r="O197" s="62"/>
      <c r="P197" s="62"/>
      <c r="Q197" s="62"/>
      <c r="R197" s="63"/>
      <c r="S197" s="60"/>
      <c r="T197" s="63"/>
      <c r="U197" s="60"/>
      <c r="V197" s="60"/>
      <c r="W197" s="60"/>
      <c r="X197" s="64"/>
      <c r="Y197" s="64"/>
      <c r="Z197" s="64"/>
      <c r="AA197" s="63"/>
    </row>
    <row r="198" spans="2:27" s="59" customFormat="1" ht="22.5" customHeight="1" x14ac:dyDescent="0.25">
      <c r="B198" s="60"/>
      <c r="C198" s="60"/>
      <c r="D198" s="60"/>
      <c r="E198" s="60"/>
      <c r="F198" s="60"/>
      <c r="G198" s="60"/>
      <c r="H198" s="61"/>
      <c r="I198" s="62"/>
      <c r="J198" s="62"/>
      <c r="K198" s="62"/>
      <c r="L198" s="62"/>
      <c r="M198" s="62"/>
      <c r="N198" s="62"/>
      <c r="O198" s="62"/>
      <c r="P198" s="62"/>
      <c r="Q198" s="62"/>
      <c r="R198" s="63"/>
      <c r="S198" s="60"/>
      <c r="T198" s="63"/>
      <c r="U198" s="60"/>
      <c r="V198" s="60"/>
      <c r="W198" s="60"/>
      <c r="X198" s="64"/>
      <c r="Y198" s="64"/>
      <c r="Z198" s="64"/>
      <c r="AA198" s="63"/>
    </row>
    <row r="199" spans="2:27" s="59" customFormat="1" ht="22.5" customHeight="1" x14ac:dyDescent="0.25">
      <c r="B199" s="60"/>
      <c r="C199" s="60"/>
      <c r="D199" s="60"/>
      <c r="E199" s="60"/>
      <c r="F199" s="60"/>
      <c r="G199" s="60"/>
      <c r="H199" s="61"/>
      <c r="I199" s="62"/>
      <c r="J199" s="62"/>
      <c r="K199" s="62"/>
      <c r="L199" s="62"/>
      <c r="M199" s="62"/>
      <c r="N199" s="62"/>
      <c r="O199" s="62"/>
      <c r="P199" s="62"/>
      <c r="Q199" s="62"/>
      <c r="R199" s="63"/>
      <c r="S199" s="60"/>
      <c r="T199" s="63"/>
      <c r="U199" s="60"/>
      <c r="V199" s="60"/>
      <c r="W199" s="60"/>
      <c r="X199" s="64"/>
      <c r="Y199" s="64"/>
      <c r="Z199" s="64"/>
      <c r="AA199" s="63"/>
    </row>
    <row r="200" spans="2:27" s="59" customFormat="1" ht="22.5" customHeight="1" x14ac:dyDescent="0.25">
      <c r="B200" s="60"/>
      <c r="C200" s="60"/>
      <c r="D200" s="60"/>
      <c r="E200" s="60"/>
      <c r="F200" s="60"/>
      <c r="G200" s="60"/>
      <c r="H200" s="61"/>
      <c r="I200" s="62"/>
      <c r="J200" s="62"/>
      <c r="K200" s="62"/>
      <c r="L200" s="62"/>
      <c r="M200" s="62"/>
      <c r="N200" s="62"/>
      <c r="O200" s="62"/>
      <c r="P200" s="62"/>
      <c r="Q200" s="62"/>
      <c r="R200" s="63"/>
      <c r="S200" s="60"/>
      <c r="T200" s="63"/>
      <c r="U200" s="60"/>
      <c r="V200" s="60"/>
      <c r="W200" s="60"/>
      <c r="X200" s="64"/>
      <c r="Y200" s="64"/>
      <c r="Z200" s="64"/>
      <c r="AA200" s="63"/>
    </row>
    <row r="201" spans="2:27" s="59" customFormat="1" ht="22.5" customHeight="1" x14ac:dyDescent="0.25">
      <c r="B201" s="60"/>
      <c r="C201" s="60"/>
      <c r="D201" s="60"/>
      <c r="E201" s="60"/>
      <c r="F201" s="60"/>
      <c r="G201" s="60"/>
      <c r="H201" s="61"/>
      <c r="I201" s="62"/>
      <c r="J201" s="62"/>
      <c r="K201" s="62"/>
      <c r="L201" s="62"/>
      <c r="M201" s="62"/>
      <c r="N201" s="62"/>
      <c r="O201" s="62"/>
      <c r="P201" s="62"/>
      <c r="Q201" s="62"/>
      <c r="R201" s="63"/>
      <c r="S201" s="60"/>
      <c r="T201" s="63"/>
      <c r="U201" s="60"/>
      <c r="V201" s="60"/>
      <c r="W201" s="60"/>
      <c r="X201" s="64"/>
      <c r="Y201" s="64"/>
      <c r="Z201" s="64"/>
      <c r="AA201" s="63"/>
    </row>
    <row r="202" spans="2:27" s="59" customFormat="1" ht="22.5" customHeight="1" x14ac:dyDescent="0.25">
      <c r="B202" s="60"/>
      <c r="C202" s="60"/>
      <c r="D202" s="60"/>
      <c r="E202" s="60"/>
      <c r="F202" s="60"/>
      <c r="G202" s="60"/>
      <c r="H202" s="61"/>
      <c r="I202" s="62"/>
      <c r="J202" s="62"/>
      <c r="K202" s="62"/>
      <c r="L202" s="62"/>
      <c r="M202" s="62"/>
      <c r="N202" s="62"/>
      <c r="O202" s="62"/>
      <c r="P202" s="62"/>
      <c r="Q202" s="62"/>
      <c r="R202" s="63"/>
      <c r="S202" s="60"/>
      <c r="T202" s="63"/>
      <c r="U202" s="60"/>
      <c r="V202" s="60"/>
      <c r="W202" s="60"/>
      <c r="X202" s="64"/>
      <c r="Y202" s="64"/>
      <c r="Z202" s="64"/>
      <c r="AA202" s="63"/>
    </row>
    <row r="203" spans="2:27" s="59" customFormat="1" ht="22.5" customHeight="1" x14ac:dyDescent="0.25">
      <c r="B203" s="60"/>
      <c r="C203" s="60"/>
      <c r="D203" s="60"/>
      <c r="E203" s="60"/>
      <c r="F203" s="60"/>
      <c r="G203" s="60"/>
      <c r="H203" s="61"/>
      <c r="I203" s="62"/>
      <c r="J203" s="62"/>
      <c r="K203" s="62"/>
      <c r="L203" s="62"/>
      <c r="M203" s="62"/>
      <c r="N203" s="62"/>
      <c r="O203" s="62"/>
      <c r="P203" s="62"/>
      <c r="Q203" s="62"/>
      <c r="R203" s="63"/>
      <c r="S203" s="60"/>
      <c r="T203" s="63"/>
      <c r="U203" s="60"/>
      <c r="V203" s="60"/>
      <c r="W203" s="60"/>
      <c r="X203" s="64"/>
      <c r="Y203" s="64"/>
      <c r="Z203" s="64"/>
      <c r="AA203" s="63"/>
    </row>
  </sheetData>
  <mergeCells count="66">
    <mergeCell ref="AA7:AA8"/>
    <mergeCell ref="AA9:AA10"/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</mergeCells>
  <phoneticPr fontId="9" type="noConversion"/>
  <pageMargins left="0.7" right="0.7" top="0.75" bottom="0.75" header="0.3" footer="0.3"/>
  <pageSetup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38100</xdr:colOff>
                    <xdr:row>0</xdr:row>
                    <xdr:rowOff>47625</xdr:rowOff>
                  </from>
                  <to>
                    <xdr:col>26</xdr:col>
                    <xdr:colOff>981075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47625</xdr:colOff>
                    <xdr:row>2</xdr:row>
                    <xdr:rowOff>76200</xdr:rowOff>
                  </from>
                  <to>
                    <xdr:col>26</xdr:col>
                    <xdr:colOff>981075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38100</xdr:colOff>
                    <xdr:row>0</xdr:row>
                    <xdr:rowOff>47625</xdr:rowOff>
                  </from>
                  <to>
                    <xdr:col>28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38100</xdr:colOff>
                    <xdr:row>2</xdr:row>
                    <xdr:rowOff>76200</xdr:rowOff>
                  </from>
                  <to>
                    <xdr:col>28</xdr:col>
                    <xdr:colOff>247650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304800</xdr:colOff>
                    <xdr:row>0</xdr:row>
                    <xdr:rowOff>57150</xdr:rowOff>
                  </from>
                  <to>
                    <xdr:col>29</xdr:col>
                    <xdr:colOff>476250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66"/>
  <sheetViews>
    <sheetView showGridLines="0" zoomScaleNormal="100" workbookViewId="0">
      <pane ySplit="9" topLeftCell="A10" activePane="bottomLeft" state="frozen"/>
      <selection activeCell="G15" sqref="G15"/>
      <selection pane="bottomLeft" activeCell="I11" sqref="I11"/>
    </sheetView>
  </sheetViews>
  <sheetFormatPr defaultColWidth="12.140625" defaultRowHeight="22.5" customHeight="1" x14ac:dyDescent="0.3"/>
  <cols>
    <col min="1" max="1" width="5.140625" style="109" bestFit="1" customWidth="1"/>
    <col min="2" max="2" width="6.85546875" style="115" bestFit="1" customWidth="1"/>
    <col min="3" max="3" width="8.42578125" style="109" bestFit="1" customWidth="1"/>
    <col min="4" max="4" width="41.42578125" style="109" customWidth="1"/>
    <col min="5" max="7" width="5.5703125" style="109" customWidth="1"/>
    <col min="8" max="17" width="5.5703125" style="116" customWidth="1"/>
    <col min="18" max="18" width="7.5703125" style="109" bestFit="1" customWidth="1"/>
    <col min="19" max="19" width="25.7109375" style="109" customWidth="1"/>
    <col min="20" max="20" width="10" style="70" hidden="1" customWidth="1"/>
    <col min="21" max="21" width="10.28515625" style="109" customWidth="1"/>
    <col min="22" max="22" width="13.5703125" style="117" customWidth="1"/>
    <col min="23" max="16384" width="12.140625" style="109"/>
  </cols>
  <sheetData>
    <row r="1" spans="1:22" s="69" customFormat="1" ht="13.5" customHeight="1" x14ac:dyDescent="0.3">
      <c r="T1" s="70"/>
      <c r="V1" s="71"/>
    </row>
    <row r="2" spans="1:22" s="69" customFormat="1" ht="16.5" customHeight="1" x14ac:dyDescent="0.3">
      <c r="T2" s="70"/>
      <c r="V2" s="71"/>
    </row>
    <row r="3" spans="1:22" s="69" customFormat="1" ht="16.5" customHeight="1" x14ac:dyDescent="0.3">
      <c r="T3" s="70"/>
      <c r="V3" s="71"/>
    </row>
    <row r="4" spans="1:22" s="69" customFormat="1" ht="0.75" customHeight="1" x14ac:dyDescent="0.3">
      <c r="T4" s="70"/>
      <c r="V4" s="71"/>
    </row>
    <row r="5" spans="1:22" s="69" customFormat="1" ht="16.5" x14ac:dyDescent="0.3">
      <c r="A5" s="72" t="s">
        <v>0</v>
      </c>
      <c r="B5" s="72" t="s">
        <v>1</v>
      </c>
      <c r="C5" s="72" t="s">
        <v>2</v>
      </c>
      <c r="D5" s="72" t="s">
        <v>22</v>
      </c>
      <c r="E5" s="73" t="s">
        <v>4</v>
      </c>
      <c r="F5" s="74"/>
      <c r="G5" s="75"/>
      <c r="H5" s="72" t="s">
        <v>5</v>
      </c>
      <c r="I5" s="72" t="s">
        <v>6</v>
      </c>
      <c r="J5" s="72" t="s">
        <v>7</v>
      </c>
      <c r="K5" s="72" t="s">
        <v>8</v>
      </c>
      <c r="L5" s="72" t="s">
        <v>9</v>
      </c>
      <c r="M5" s="72" t="s">
        <v>10</v>
      </c>
      <c r="N5" s="72" t="s">
        <v>11</v>
      </c>
      <c r="O5" s="72" t="s">
        <v>12</v>
      </c>
      <c r="P5" s="72" t="s">
        <v>13</v>
      </c>
      <c r="Q5" s="72" t="s">
        <v>14</v>
      </c>
      <c r="R5" s="72" t="s">
        <v>15</v>
      </c>
      <c r="S5" s="72" t="s">
        <v>16</v>
      </c>
      <c r="T5" s="70"/>
      <c r="U5" s="72" t="s">
        <v>23</v>
      </c>
      <c r="V5" s="76" t="s">
        <v>43</v>
      </c>
    </row>
    <row r="6" spans="1:22" s="69" customFormat="1" ht="16.5" x14ac:dyDescent="0.3">
      <c r="A6" s="77"/>
      <c r="B6" s="77"/>
      <c r="C6" s="77"/>
      <c r="D6" s="77"/>
      <c r="E6" s="78" t="s">
        <v>17</v>
      </c>
      <c r="F6" s="79" t="s">
        <v>18</v>
      </c>
      <c r="G6" s="79" t="s">
        <v>19</v>
      </c>
      <c r="H6" s="77"/>
      <c r="I6" s="77"/>
      <c r="J6" s="77"/>
      <c r="K6" s="77"/>
      <c r="L6" s="77"/>
      <c r="M6" s="77"/>
      <c r="N6" s="77"/>
      <c r="O6" s="77"/>
      <c r="P6" s="77"/>
      <c r="Q6" s="77"/>
      <c r="R6" s="80"/>
      <c r="S6" s="77"/>
      <c r="T6" s="70"/>
      <c r="U6" s="80"/>
      <c r="V6" s="81"/>
    </row>
    <row r="7" spans="1:22" s="69" customFormat="1" ht="13.5" x14ac:dyDescent="0.25">
      <c r="A7" s="73" t="s">
        <v>15</v>
      </c>
      <c r="B7" s="74"/>
      <c r="C7" s="74"/>
      <c r="D7" s="75"/>
      <c r="E7" s="82">
        <f t="shared" ref="E7:E8" si="0">EvalPower(E9:G9)</f>
        <v>11</v>
      </c>
      <c r="F7" s="83"/>
      <c r="G7" s="84"/>
      <c r="H7" s="85">
        <f t="shared" ref="H7:Q7" si="1">EvalMath(H10:H53)</f>
        <v>8</v>
      </c>
      <c r="I7" s="85">
        <f t="shared" si="1"/>
        <v>3</v>
      </c>
      <c r="J7" s="86" t="str">
        <f t="shared" si="1"/>
        <v>-</v>
      </c>
      <c r="K7" s="85" t="str">
        <f t="shared" si="1"/>
        <v>-</v>
      </c>
      <c r="L7" s="85" t="str">
        <f t="shared" si="1"/>
        <v>-</v>
      </c>
      <c r="M7" s="85" t="str">
        <f t="shared" si="1"/>
        <v>-</v>
      </c>
      <c r="N7" s="85" t="str">
        <f t="shared" si="1"/>
        <v>-</v>
      </c>
      <c r="O7" s="85" t="str">
        <f t="shared" si="1"/>
        <v>-</v>
      </c>
      <c r="P7" s="85" t="str">
        <f t="shared" si="1"/>
        <v>-</v>
      </c>
      <c r="Q7" s="85" t="str">
        <f t="shared" si="1"/>
        <v>-</v>
      </c>
      <c r="R7" s="87">
        <f>EvalPower(R10:R53)</f>
        <v>1597</v>
      </c>
      <c r="S7" s="86" t="s">
        <v>120</v>
      </c>
      <c r="T7" s="86"/>
      <c r="U7" s="86"/>
      <c r="V7" s="88"/>
    </row>
    <row r="8" spans="1:22" s="69" customFormat="1" ht="13.5" x14ac:dyDescent="0.25">
      <c r="A8" s="89" t="s">
        <v>28</v>
      </c>
      <c r="B8" s="90"/>
      <c r="C8" s="90"/>
      <c r="D8" s="91"/>
      <c r="E8" s="92">
        <f t="shared" si="0"/>
        <v>5</v>
      </c>
      <c r="F8" s="93"/>
      <c r="G8" s="94"/>
      <c r="H8" s="95"/>
      <c r="I8" s="95"/>
      <c r="J8" s="96"/>
      <c r="K8" s="95"/>
      <c r="L8" s="95"/>
      <c r="M8" s="95"/>
      <c r="N8" s="95"/>
      <c r="O8" s="95"/>
      <c r="P8" s="95"/>
      <c r="Q8" s="95"/>
      <c r="R8" s="97"/>
      <c r="S8" s="96"/>
      <c r="T8" s="96"/>
      <c r="U8" s="96"/>
      <c r="V8" s="98"/>
    </row>
    <row r="9" spans="1:22" s="69" customFormat="1" ht="13.5" x14ac:dyDescent="0.25">
      <c r="A9" s="99"/>
      <c r="B9" s="100"/>
      <c r="C9" s="100"/>
      <c r="D9" s="101"/>
      <c r="E9" s="102">
        <f t="shared" ref="E9:G9" si="2">EvalPower(E10:E53)</f>
        <v>8</v>
      </c>
      <c r="F9" s="102" t="str">
        <f t="shared" si="2"/>
        <v>0</v>
      </c>
      <c r="G9" s="102">
        <f t="shared" si="2"/>
        <v>3</v>
      </c>
      <c r="H9" s="103"/>
      <c r="I9" s="103"/>
      <c r="J9" s="104"/>
      <c r="K9" s="103"/>
      <c r="L9" s="103"/>
      <c r="M9" s="103"/>
      <c r="N9" s="103"/>
      <c r="O9" s="103"/>
      <c r="P9" s="103"/>
      <c r="Q9" s="103"/>
      <c r="R9" s="105"/>
      <c r="S9" s="104"/>
      <c r="T9" s="106"/>
      <c r="U9" s="104"/>
      <c r="V9" s="107"/>
    </row>
    <row r="10" spans="1:22" ht="22.5" customHeight="1" x14ac:dyDescent="0.3">
      <c r="A10" s="51">
        <v>1</v>
      </c>
      <c r="B10" s="4" t="s">
        <v>90</v>
      </c>
      <c r="C10" s="2" t="s">
        <v>135</v>
      </c>
      <c r="D10" s="2" t="s">
        <v>134</v>
      </c>
      <c r="E10" s="50" t="s">
        <v>132</v>
      </c>
      <c r="F10" s="50" t="s">
        <v>42</v>
      </c>
      <c r="G10" s="50" t="s">
        <v>129</v>
      </c>
      <c r="H10" s="51" t="s">
        <v>136</v>
      </c>
      <c r="I10" s="51" t="s">
        <v>129</v>
      </c>
      <c r="J10" s="51"/>
      <c r="K10" s="51"/>
      <c r="L10" s="51"/>
      <c r="M10" s="51"/>
      <c r="N10" s="51"/>
      <c r="O10" s="51"/>
      <c r="P10" s="51"/>
      <c r="Q10" s="51"/>
      <c r="R10" s="52">
        <f>(EvalPower(E10:G10)*U10)</f>
        <v>335</v>
      </c>
      <c r="S10" s="55" t="s">
        <v>137</v>
      </c>
      <c r="U10" s="108">
        <v>67</v>
      </c>
      <c r="V10" s="56"/>
    </row>
    <row r="11" spans="1:22" ht="22.5" customHeight="1" x14ac:dyDescent="0.3">
      <c r="A11" s="51">
        <v>2</v>
      </c>
      <c r="B11" s="4" t="s">
        <v>65</v>
      </c>
      <c r="C11" s="2" t="s">
        <v>140</v>
      </c>
      <c r="D11" s="2" t="s">
        <v>72</v>
      </c>
      <c r="E11" s="50" t="s">
        <v>132</v>
      </c>
      <c r="F11" s="50" t="s">
        <v>42</v>
      </c>
      <c r="G11" s="50" t="s">
        <v>42</v>
      </c>
      <c r="H11" s="51" t="s">
        <v>132</v>
      </c>
      <c r="I11" s="51"/>
      <c r="J11" s="51"/>
      <c r="K11" s="51"/>
      <c r="L11" s="51"/>
      <c r="M11" s="51"/>
      <c r="N11" s="51"/>
      <c r="O11" s="51"/>
      <c r="P11" s="51"/>
      <c r="Q11" s="51"/>
      <c r="R11" s="52">
        <f t="shared" ref="R11:R12" si="3">(EvalPower(E11:G11)*U11)</f>
        <v>246</v>
      </c>
      <c r="S11" s="55" t="s">
        <v>147</v>
      </c>
      <c r="U11" s="108">
        <v>123</v>
      </c>
      <c r="V11" s="56"/>
    </row>
    <row r="12" spans="1:22" ht="22.5" customHeight="1" x14ac:dyDescent="0.3">
      <c r="A12" s="51">
        <v>3</v>
      </c>
      <c r="B12" s="4" t="s">
        <v>60</v>
      </c>
      <c r="C12" s="2" t="s">
        <v>143</v>
      </c>
      <c r="D12" s="2" t="s">
        <v>142</v>
      </c>
      <c r="E12" s="50" t="s">
        <v>122</v>
      </c>
      <c r="F12" s="50" t="s">
        <v>42</v>
      </c>
      <c r="G12" s="50" t="s">
        <v>42</v>
      </c>
      <c r="H12" s="51" t="s">
        <v>146</v>
      </c>
      <c r="I12" s="51"/>
      <c r="J12" s="51"/>
      <c r="K12" s="51"/>
      <c r="L12" s="51"/>
      <c r="M12" s="51"/>
      <c r="N12" s="51"/>
      <c r="O12" s="51"/>
      <c r="P12" s="51"/>
      <c r="Q12" s="51"/>
      <c r="R12" s="52">
        <f t="shared" si="3"/>
        <v>1016</v>
      </c>
      <c r="S12" s="55" t="s">
        <v>148</v>
      </c>
      <c r="U12" s="108">
        <v>254</v>
      </c>
      <c r="V12" s="56"/>
    </row>
    <row r="13" spans="1:22" ht="22.5" customHeight="1" x14ac:dyDescent="0.3">
      <c r="A13" s="51"/>
      <c r="B13" s="4"/>
      <c r="C13" s="2"/>
      <c r="D13" s="2"/>
      <c r="E13" s="50"/>
      <c r="F13" s="50"/>
      <c r="G13" s="50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2"/>
      <c r="S13" s="55"/>
      <c r="U13" s="108"/>
      <c r="V13" s="56"/>
    </row>
    <row r="14" spans="1:22" ht="22.5" customHeight="1" x14ac:dyDescent="0.3">
      <c r="A14" s="51"/>
      <c r="B14" s="4"/>
      <c r="C14" s="2"/>
      <c r="D14" s="2"/>
      <c r="E14" s="50"/>
      <c r="F14" s="50"/>
      <c r="G14" s="50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2"/>
      <c r="S14" s="55"/>
      <c r="U14" s="108"/>
      <c r="V14" s="56"/>
    </row>
    <row r="15" spans="1:22" ht="22.5" customHeight="1" x14ac:dyDescent="0.3">
      <c r="A15" s="51"/>
      <c r="B15" s="4"/>
      <c r="C15" s="2"/>
      <c r="D15" s="2"/>
      <c r="E15" s="50"/>
      <c r="F15" s="50"/>
      <c r="G15" s="50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2"/>
      <c r="S15" s="55"/>
      <c r="U15" s="108"/>
      <c r="V15" s="56"/>
    </row>
    <row r="16" spans="1:22" ht="22.5" customHeight="1" x14ac:dyDescent="0.3">
      <c r="A16" s="51"/>
      <c r="B16" s="4"/>
      <c r="C16" s="2"/>
      <c r="D16" s="2"/>
      <c r="E16" s="50"/>
      <c r="F16" s="50"/>
      <c r="G16" s="50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2"/>
      <c r="S16" s="55"/>
      <c r="U16" s="108"/>
      <c r="V16" s="56"/>
    </row>
    <row r="17" spans="1:22" ht="22.5" customHeight="1" x14ac:dyDescent="0.3">
      <c r="A17" s="51"/>
      <c r="B17" s="4"/>
      <c r="C17" s="2"/>
      <c r="D17" s="2"/>
      <c r="E17" s="50"/>
      <c r="F17" s="50"/>
      <c r="G17" s="50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2"/>
      <c r="S17" s="55"/>
      <c r="U17" s="108"/>
      <c r="V17" s="56"/>
    </row>
    <row r="18" spans="1:22" ht="22.5" customHeight="1" x14ac:dyDescent="0.3">
      <c r="A18" s="51"/>
      <c r="B18" s="4"/>
      <c r="C18" s="2"/>
      <c r="D18" s="2"/>
      <c r="E18" s="50"/>
      <c r="F18" s="50"/>
      <c r="G18" s="50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2"/>
      <c r="S18" s="55"/>
      <c r="U18" s="108"/>
      <c r="V18" s="56"/>
    </row>
    <row r="19" spans="1:22" ht="22.5" customHeight="1" x14ac:dyDescent="0.3">
      <c r="A19" s="51"/>
      <c r="B19" s="4"/>
      <c r="C19" s="2"/>
      <c r="D19" s="2"/>
      <c r="E19" s="50"/>
      <c r="F19" s="50"/>
      <c r="G19" s="50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2"/>
      <c r="S19" s="55"/>
      <c r="U19" s="108"/>
      <c r="V19" s="56"/>
    </row>
    <row r="20" spans="1:22" ht="22.5" customHeight="1" x14ac:dyDescent="0.3">
      <c r="A20" s="51"/>
      <c r="B20" s="4"/>
      <c r="C20" s="2"/>
      <c r="D20" s="2"/>
      <c r="E20" s="50"/>
      <c r="F20" s="50"/>
      <c r="G20" s="50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2"/>
      <c r="S20" s="55"/>
      <c r="U20" s="108"/>
      <c r="V20" s="56"/>
    </row>
    <row r="21" spans="1:22" ht="22.5" customHeight="1" x14ac:dyDescent="0.3">
      <c r="A21" s="51"/>
      <c r="B21" s="4"/>
      <c r="C21" s="2"/>
      <c r="D21" s="2"/>
      <c r="E21" s="50"/>
      <c r="F21" s="50"/>
      <c r="G21" s="50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2"/>
      <c r="S21" s="55"/>
      <c r="U21" s="108"/>
      <c r="V21" s="56"/>
    </row>
    <row r="22" spans="1:22" ht="22.5" customHeight="1" x14ac:dyDescent="0.3">
      <c r="A22" s="51"/>
      <c r="B22" s="4"/>
      <c r="C22" s="2"/>
      <c r="D22" s="2"/>
      <c r="E22" s="50"/>
      <c r="F22" s="50"/>
      <c r="G22" s="50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2"/>
      <c r="S22" s="55"/>
      <c r="U22" s="108"/>
      <c r="V22" s="56"/>
    </row>
    <row r="23" spans="1:22" ht="22.5" customHeight="1" x14ac:dyDescent="0.3">
      <c r="A23" s="51"/>
      <c r="B23" s="4"/>
      <c r="C23" s="2"/>
      <c r="D23" s="2"/>
      <c r="E23" s="50"/>
      <c r="F23" s="50"/>
      <c r="G23" s="50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2"/>
      <c r="S23" s="55"/>
      <c r="U23" s="108"/>
      <c r="V23" s="56"/>
    </row>
    <row r="24" spans="1:22" ht="22.5" customHeight="1" x14ac:dyDescent="0.3">
      <c r="A24" s="51"/>
      <c r="B24" s="4"/>
      <c r="C24" s="2"/>
      <c r="D24" s="2"/>
      <c r="E24" s="50"/>
      <c r="F24" s="50"/>
      <c r="G24" s="50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2"/>
      <c r="S24" s="55"/>
      <c r="U24" s="108"/>
      <c r="V24" s="56"/>
    </row>
    <row r="25" spans="1:22" ht="22.5" customHeight="1" x14ac:dyDescent="0.3">
      <c r="A25" s="51"/>
      <c r="B25" s="4"/>
      <c r="C25" s="2"/>
      <c r="D25" s="2"/>
      <c r="E25" s="50"/>
      <c r="F25" s="50"/>
      <c r="G25" s="50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2"/>
      <c r="S25" s="55"/>
      <c r="U25" s="108"/>
      <c r="V25" s="56"/>
    </row>
    <row r="26" spans="1:22" ht="22.5" customHeight="1" x14ac:dyDescent="0.3">
      <c r="A26" s="51"/>
      <c r="B26" s="4"/>
      <c r="C26" s="2"/>
      <c r="D26" s="2"/>
      <c r="E26" s="50"/>
      <c r="F26" s="50"/>
      <c r="G26" s="50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2"/>
      <c r="S26" s="55"/>
      <c r="U26" s="108"/>
      <c r="V26" s="56"/>
    </row>
    <row r="27" spans="1:22" ht="22.5" customHeight="1" x14ac:dyDescent="0.3">
      <c r="A27" s="51"/>
      <c r="B27" s="4"/>
      <c r="C27" s="2"/>
      <c r="D27" s="2"/>
      <c r="E27" s="50"/>
      <c r="F27" s="50"/>
      <c r="G27" s="50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2"/>
      <c r="S27" s="55"/>
      <c r="U27" s="108"/>
      <c r="V27" s="56"/>
    </row>
    <row r="28" spans="1:22" ht="22.5" customHeight="1" x14ac:dyDescent="0.3">
      <c r="A28" s="51"/>
      <c r="B28" s="4"/>
      <c r="C28" s="2"/>
      <c r="D28" s="2"/>
      <c r="E28" s="50"/>
      <c r="F28" s="50"/>
      <c r="G28" s="50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2"/>
      <c r="S28" s="55"/>
      <c r="U28" s="108"/>
      <c r="V28" s="56"/>
    </row>
    <row r="29" spans="1:22" ht="22.5" customHeight="1" x14ac:dyDescent="0.3">
      <c r="A29" s="51"/>
      <c r="B29" s="4"/>
      <c r="C29" s="2"/>
      <c r="D29" s="2"/>
      <c r="E29" s="50"/>
      <c r="F29" s="50"/>
      <c r="G29" s="50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2"/>
      <c r="S29" s="55"/>
      <c r="U29" s="108"/>
      <c r="V29" s="56"/>
    </row>
    <row r="30" spans="1:22" ht="22.5" customHeight="1" x14ac:dyDescent="0.3">
      <c r="A30" s="51"/>
      <c r="B30" s="4"/>
      <c r="C30" s="2"/>
      <c r="D30" s="2"/>
      <c r="E30" s="50"/>
      <c r="F30" s="50"/>
      <c r="G30" s="50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2"/>
      <c r="S30" s="55"/>
      <c r="U30" s="108"/>
      <c r="V30" s="56"/>
    </row>
    <row r="31" spans="1:22" ht="22.5" customHeight="1" x14ac:dyDescent="0.3">
      <c r="A31" s="51"/>
      <c r="B31" s="4"/>
      <c r="C31" s="2"/>
      <c r="D31" s="2"/>
      <c r="E31" s="50"/>
      <c r="F31" s="50"/>
      <c r="G31" s="50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2"/>
      <c r="S31" s="55"/>
      <c r="U31" s="108"/>
      <c r="V31" s="56"/>
    </row>
    <row r="32" spans="1:22" ht="22.5" customHeight="1" x14ac:dyDescent="0.3">
      <c r="A32" s="51"/>
      <c r="B32" s="4"/>
      <c r="C32" s="2"/>
      <c r="D32" s="2"/>
      <c r="E32" s="50"/>
      <c r="F32" s="50"/>
      <c r="G32" s="50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2"/>
      <c r="S32" s="55"/>
      <c r="U32" s="108"/>
      <c r="V32" s="56"/>
    </row>
    <row r="33" spans="1:22" ht="22.5" customHeight="1" x14ac:dyDescent="0.3">
      <c r="A33" s="51"/>
      <c r="B33" s="4"/>
      <c r="C33" s="2"/>
      <c r="D33" s="2"/>
      <c r="E33" s="50"/>
      <c r="F33" s="50"/>
      <c r="G33" s="50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2"/>
      <c r="S33" s="55"/>
      <c r="U33" s="108"/>
      <c r="V33" s="56"/>
    </row>
    <row r="34" spans="1:22" ht="22.5" customHeight="1" x14ac:dyDescent="0.3">
      <c r="A34" s="51"/>
      <c r="B34" s="4"/>
      <c r="C34" s="2"/>
      <c r="D34" s="2"/>
      <c r="E34" s="50"/>
      <c r="F34" s="50"/>
      <c r="G34" s="50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2"/>
      <c r="S34" s="55"/>
      <c r="U34" s="108"/>
      <c r="V34" s="56"/>
    </row>
    <row r="35" spans="1:22" ht="22.5" customHeight="1" x14ac:dyDescent="0.3">
      <c r="A35" s="51"/>
      <c r="B35" s="4"/>
      <c r="C35" s="2"/>
      <c r="D35" s="2"/>
      <c r="E35" s="50"/>
      <c r="F35" s="50"/>
      <c r="G35" s="50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2"/>
      <c r="S35" s="55"/>
      <c r="U35" s="108"/>
      <c r="V35" s="56"/>
    </row>
    <row r="36" spans="1:22" ht="22.5" customHeight="1" x14ac:dyDescent="0.3">
      <c r="A36" s="51"/>
      <c r="B36" s="4"/>
      <c r="C36" s="2"/>
      <c r="D36" s="2"/>
      <c r="E36" s="50"/>
      <c r="F36" s="50"/>
      <c r="G36" s="50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2"/>
      <c r="S36" s="55"/>
      <c r="U36" s="108"/>
      <c r="V36" s="56"/>
    </row>
    <row r="37" spans="1:22" ht="22.5" customHeight="1" x14ac:dyDescent="0.3">
      <c r="A37" s="51"/>
      <c r="B37" s="4"/>
      <c r="C37" s="2"/>
      <c r="D37" s="2"/>
      <c r="E37" s="50"/>
      <c r="F37" s="50"/>
      <c r="G37" s="50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2"/>
      <c r="S37" s="55"/>
      <c r="U37" s="108"/>
      <c r="V37" s="56"/>
    </row>
    <row r="38" spans="1:22" ht="22.5" customHeight="1" x14ac:dyDescent="0.3">
      <c r="A38" s="51"/>
      <c r="B38" s="4"/>
      <c r="C38" s="2"/>
      <c r="D38" s="2"/>
      <c r="E38" s="50"/>
      <c r="F38" s="50"/>
      <c r="G38" s="50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2"/>
      <c r="S38" s="55"/>
      <c r="U38" s="108"/>
      <c r="V38" s="56"/>
    </row>
    <row r="39" spans="1:22" ht="22.5" customHeight="1" x14ac:dyDescent="0.3">
      <c r="A39" s="51"/>
      <c r="B39" s="4"/>
      <c r="C39" s="2"/>
      <c r="D39" s="2"/>
      <c r="E39" s="50"/>
      <c r="F39" s="50"/>
      <c r="G39" s="50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2"/>
      <c r="S39" s="55"/>
      <c r="U39" s="108"/>
      <c r="V39" s="56"/>
    </row>
    <row r="40" spans="1:22" ht="22.5" customHeight="1" x14ac:dyDescent="0.3">
      <c r="A40" s="51"/>
      <c r="B40" s="4"/>
      <c r="C40" s="2"/>
      <c r="D40" s="2"/>
      <c r="E40" s="50"/>
      <c r="F40" s="50"/>
      <c r="G40" s="50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2"/>
      <c r="S40" s="55"/>
      <c r="U40" s="108"/>
      <c r="V40" s="56"/>
    </row>
    <row r="41" spans="1:22" ht="22.5" customHeight="1" x14ac:dyDescent="0.3">
      <c r="A41" s="51"/>
      <c r="B41" s="4"/>
      <c r="C41" s="2"/>
      <c r="D41" s="2"/>
      <c r="E41" s="50"/>
      <c r="F41" s="50"/>
      <c r="G41" s="50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2"/>
      <c r="S41" s="55"/>
      <c r="U41" s="108"/>
      <c r="V41" s="56"/>
    </row>
    <row r="42" spans="1:22" ht="22.5" customHeight="1" x14ac:dyDescent="0.3">
      <c r="A42" s="51"/>
      <c r="B42" s="4"/>
      <c r="C42" s="2"/>
      <c r="D42" s="2"/>
      <c r="E42" s="50"/>
      <c r="F42" s="50"/>
      <c r="G42" s="50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2"/>
      <c r="S42" s="55"/>
      <c r="U42" s="108"/>
      <c r="V42" s="56"/>
    </row>
    <row r="43" spans="1:22" ht="22.5" customHeight="1" x14ac:dyDescent="0.3">
      <c r="A43" s="51"/>
      <c r="B43" s="4"/>
      <c r="C43" s="2"/>
      <c r="D43" s="2"/>
      <c r="E43" s="50"/>
      <c r="F43" s="50"/>
      <c r="G43" s="50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2"/>
      <c r="S43" s="55"/>
      <c r="U43" s="108"/>
      <c r="V43" s="56"/>
    </row>
    <row r="44" spans="1:22" ht="22.5" customHeight="1" x14ac:dyDescent="0.3">
      <c r="A44" s="51"/>
      <c r="B44" s="4"/>
      <c r="C44" s="2"/>
      <c r="D44" s="2"/>
      <c r="E44" s="50"/>
      <c r="F44" s="50"/>
      <c r="G44" s="50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2"/>
      <c r="S44" s="55"/>
      <c r="U44" s="108"/>
      <c r="V44" s="56"/>
    </row>
    <row r="45" spans="1:22" ht="22.5" customHeight="1" x14ac:dyDescent="0.3">
      <c r="A45" s="51"/>
      <c r="B45" s="4"/>
      <c r="C45" s="2"/>
      <c r="D45" s="2"/>
      <c r="E45" s="50"/>
      <c r="F45" s="50"/>
      <c r="G45" s="50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2"/>
      <c r="S45" s="55"/>
      <c r="U45" s="108"/>
      <c r="V45" s="56"/>
    </row>
    <row r="46" spans="1:22" ht="22.5" customHeight="1" x14ac:dyDescent="0.3">
      <c r="A46" s="51"/>
      <c r="B46" s="4"/>
      <c r="C46" s="2"/>
      <c r="D46" s="2"/>
      <c r="E46" s="50"/>
      <c r="F46" s="50"/>
      <c r="G46" s="50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2"/>
      <c r="S46" s="55"/>
      <c r="U46" s="108"/>
      <c r="V46" s="56"/>
    </row>
    <row r="47" spans="1:22" ht="22.5" customHeight="1" x14ac:dyDescent="0.3">
      <c r="A47" s="51"/>
      <c r="B47" s="4"/>
      <c r="C47" s="2"/>
      <c r="D47" s="2"/>
      <c r="E47" s="50"/>
      <c r="F47" s="50"/>
      <c r="G47" s="50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2"/>
      <c r="S47" s="55"/>
      <c r="U47" s="108"/>
      <c r="V47" s="56"/>
    </row>
    <row r="48" spans="1:22" ht="22.5" customHeight="1" x14ac:dyDescent="0.3">
      <c r="A48" s="51"/>
      <c r="B48" s="4"/>
      <c r="C48" s="2"/>
      <c r="D48" s="2"/>
      <c r="E48" s="50"/>
      <c r="F48" s="50"/>
      <c r="G48" s="50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2"/>
      <c r="S48" s="55"/>
      <c r="U48" s="108"/>
      <c r="V48" s="56"/>
    </row>
    <row r="49" spans="1:22" ht="22.5" customHeight="1" x14ac:dyDescent="0.3">
      <c r="A49" s="51"/>
      <c r="B49" s="4"/>
      <c r="C49" s="2"/>
      <c r="D49" s="2"/>
      <c r="E49" s="50"/>
      <c r="F49" s="50"/>
      <c r="G49" s="50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2"/>
      <c r="S49" s="55"/>
      <c r="U49" s="108"/>
      <c r="V49" s="56"/>
    </row>
    <row r="50" spans="1:22" ht="22.5" customHeight="1" x14ac:dyDescent="0.3">
      <c r="A50" s="51"/>
      <c r="B50" s="4"/>
      <c r="C50" s="2"/>
      <c r="D50" s="2"/>
      <c r="E50" s="50"/>
      <c r="F50" s="50"/>
      <c r="G50" s="50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2"/>
      <c r="S50" s="55"/>
      <c r="U50" s="108"/>
      <c r="V50" s="56"/>
    </row>
    <row r="51" spans="1:22" ht="22.5" customHeight="1" x14ac:dyDescent="0.3">
      <c r="A51" s="51"/>
      <c r="B51" s="4"/>
      <c r="C51" s="2"/>
      <c r="D51" s="2"/>
      <c r="E51" s="50"/>
      <c r="F51" s="50"/>
      <c r="G51" s="50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2"/>
      <c r="S51" s="55"/>
      <c r="U51" s="108"/>
      <c r="V51" s="56"/>
    </row>
    <row r="52" spans="1:22" ht="22.5" customHeight="1" x14ac:dyDescent="0.3">
      <c r="A52" s="51"/>
      <c r="B52" s="4"/>
      <c r="C52" s="2"/>
      <c r="D52" s="2"/>
      <c r="E52" s="50"/>
      <c r="F52" s="50"/>
      <c r="G52" s="50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2"/>
      <c r="S52" s="55"/>
      <c r="U52" s="108"/>
      <c r="V52" s="56"/>
    </row>
    <row r="53" spans="1:22" ht="22.5" customHeight="1" x14ac:dyDescent="0.3">
      <c r="A53" s="51"/>
      <c r="B53" s="4"/>
      <c r="C53" s="2"/>
      <c r="D53" s="2"/>
      <c r="E53" s="50"/>
      <c r="F53" s="50"/>
      <c r="G53" s="50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2"/>
      <c r="S53" s="55"/>
      <c r="U53" s="108"/>
      <c r="V53" s="56"/>
    </row>
    <row r="54" spans="1:22" ht="22.5" customHeight="1" x14ac:dyDescent="0.3">
      <c r="A54" s="51"/>
      <c r="B54" s="4"/>
      <c r="C54" s="2"/>
      <c r="D54" s="2"/>
      <c r="E54" s="50"/>
      <c r="F54" s="50"/>
      <c r="G54" s="50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2"/>
      <c r="S54" s="55"/>
      <c r="U54" s="108"/>
      <c r="V54" s="56"/>
    </row>
    <row r="55" spans="1:22" ht="22.5" customHeight="1" x14ac:dyDescent="0.3">
      <c r="A55" s="51"/>
      <c r="B55" s="4"/>
      <c r="C55" s="2"/>
      <c r="D55" s="2"/>
      <c r="E55" s="50"/>
      <c r="F55" s="50"/>
      <c r="G55" s="50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2"/>
      <c r="S55" s="55"/>
      <c r="U55" s="108"/>
      <c r="V55" s="56"/>
    </row>
    <row r="56" spans="1:22" ht="22.5" customHeight="1" x14ac:dyDescent="0.3">
      <c r="A56" s="51"/>
      <c r="B56" s="4"/>
      <c r="C56" s="2"/>
      <c r="D56" s="2"/>
      <c r="E56" s="50"/>
      <c r="F56" s="50"/>
      <c r="G56" s="50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2"/>
      <c r="S56" s="55"/>
      <c r="U56" s="108"/>
      <c r="V56" s="56"/>
    </row>
    <row r="57" spans="1:22" ht="22.5" customHeight="1" x14ac:dyDescent="0.3">
      <c r="A57" s="51"/>
      <c r="B57" s="4"/>
      <c r="C57" s="2"/>
      <c r="D57" s="2"/>
      <c r="E57" s="50"/>
      <c r="F57" s="50"/>
      <c r="G57" s="50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2"/>
      <c r="S57" s="55"/>
      <c r="U57" s="108"/>
      <c r="V57" s="56"/>
    </row>
    <row r="58" spans="1:22" ht="22.5" customHeight="1" x14ac:dyDescent="0.3">
      <c r="A58" s="51"/>
      <c r="B58" s="4"/>
      <c r="C58" s="2"/>
      <c r="D58" s="2"/>
      <c r="E58" s="50"/>
      <c r="F58" s="50"/>
      <c r="G58" s="50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2"/>
      <c r="S58" s="55"/>
      <c r="U58" s="108"/>
      <c r="V58" s="56"/>
    </row>
    <row r="59" spans="1:22" ht="22.5" customHeight="1" x14ac:dyDescent="0.3">
      <c r="A59" s="51"/>
      <c r="B59" s="4"/>
      <c r="C59" s="2"/>
      <c r="D59" s="2"/>
      <c r="E59" s="50"/>
      <c r="F59" s="50"/>
      <c r="G59" s="50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2"/>
      <c r="S59" s="55"/>
      <c r="U59" s="108"/>
      <c r="V59" s="56"/>
    </row>
    <row r="60" spans="1:22" ht="22.5" customHeight="1" x14ac:dyDescent="0.3">
      <c r="A60" s="51"/>
      <c r="B60" s="4"/>
      <c r="C60" s="2"/>
      <c r="D60" s="2"/>
      <c r="E60" s="50"/>
      <c r="F60" s="50"/>
      <c r="G60" s="50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2"/>
      <c r="S60" s="55"/>
      <c r="U60" s="108"/>
      <c r="V60" s="56"/>
    </row>
    <row r="61" spans="1:22" ht="22.5" customHeight="1" x14ac:dyDescent="0.3">
      <c r="A61" s="51"/>
      <c r="B61" s="4"/>
      <c r="C61" s="2"/>
      <c r="D61" s="2"/>
      <c r="E61" s="50"/>
      <c r="F61" s="50"/>
      <c r="G61" s="50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2"/>
      <c r="S61" s="55"/>
      <c r="U61" s="108"/>
      <c r="V61" s="56"/>
    </row>
    <row r="62" spans="1:22" ht="22.5" customHeight="1" x14ac:dyDescent="0.3">
      <c r="A62" s="51"/>
      <c r="B62" s="4"/>
      <c r="C62" s="2"/>
      <c r="D62" s="2"/>
      <c r="E62" s="50"/>
      <c r="F62" s="50"/>
      <c r="G62" s="50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2"/>
      <c r="S62" s="55"/>
      <c r="U62" s="108"/>
      <c r="V62" s="56"/>
    </row>
    <row r="63" spans="1:22" ht="22.5" customHeight="1" x14ac:dyDescent="0.3">
      <c r="A63" s="51"/>
      <c r="B63" s="4"/>
      <c r="C63" s="2"/>
      <c r="D63" s="2"/>
      <c r="E63" s="50"/>
      <c r="F63" s="50"/>
      <c r="G63" s="50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2"/>
      <c r="S63" s="55"/>
      <c r="U63" s="108"/>
      <c r="V63" s="56"/>
    </row>
    <row r="64" spans="1:22" ht="22.5" customHeight="1" x14ac:dyDescent="0.3">
      <c r="A64" s="51"/>
      <c r="B64" s="4"/>
      <c r="C64" s="2"/>
      <c r="D64" s="2"/>
      <c r="E64" s="50"/>
      <c r="F64" s="50"/>
      <c r="G64" s="50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2"/>
      <c r="S64" s="55"/>
      <c r="U64" s="108"/>
      <c r="V64" s="56"/>
    </row>
    <row r="65" spans="1:23" ht="22.5" customHeight="1" x14ac:dyDescent="0.3">
      <c r="A65" s="51"/>
      <c r="B65" s="4"/>
      <c r="C65" s="2"/>
      <c r="D65" s="2"/>
      <c r="E65" s="50"/>
      <c r="F65" s="50"/>
      <c r="G65" s="50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2"/>
      <c r="S65" s="55"/>
      <c r="U65" s="108"/>
      <c r="V65" s="56"/>
    </row>
    <row r="66" spans="1:23" ht="22.5" customHeight="1" x14ac:dyDescent="0.3">
      <c r="A66" s="110"/>
      <c r="B66" s="110"/>
      <c r="C66" s="110"/>
      <c r="D66" s="110"/>
      <c r="E66" s="110"/>
      <c r="F66" s="110"/>
      <c r="G66" s="110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2"/>
      <c r="S66" s="110"/>
      <c r="U66" s="112"/>
      <c r="V66" s="113"/>
      <c r="W66" s="114"/>
    </row>
  </sheetData>
  <mergeCells count="38">
    <mergeCell ref="T7:T9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E5:G5"/>
  </mergeCells>
  <pageMargins left="0.7" right="0.7" top="0.75" bottom="0.75" header="0.3" footer="0.3"/>
  <pageSetup orientation="portrait" r:id="rId1"/>
  <ignoredErrors>
    <ignoredError sqref="E10:E12 H1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Clear_Data_Process">
                <anchor moveWithCells="1">
                  <from>
                    <xdr:col>20</xdr:col>
                    <xdr:colOff>28575</xdr:colOff>
                    <xdr:row>0</xdr:row>
                    <xdr:rowOff>47625</xdr:rowOff>
                  </from>
                  <to>
                    <xdr:col>21</xdr:col>
                    <xdr:colOff>266700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autoFill="0" autoPict="0" macro="[0]!ClearProcessSheet">
                <anchor moveWithCells="1">
                  <from>
                    <xdr:col>20</xdr:col>
                    <xdr:colOff>28575</xdr:colOff>
                    <xdr:row>1</xdr:row>
                    <xdr:rowOff>161925</xdr:rowOff>
                  </from>
                  <to>
                    <xdr:col>21</xdr:col>
                    <xdr:colOff>266700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AddDashToProcessColumns">
                <anchor moveWithCells="1" sizeWithCells="1">
                  <from>
                    <xdr:col>21</xdr:col>
                    <xdr:colOff>381000</xdr:colOff>
                    <xdr:row>1</xdr:row>
                    <xdr:rowOff>152400</xdr:rowOff>
                  </from>
                  <to>
                    <xdr:col>22</xdr:col>
                    <xdr:colOff>371475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RemoveDashFromProcessColumns">
                <anchor moveWithCells="1" sizeWithCells="1">
                  <from>
                    <xdr:col>21</xdr:col>
                    <xdr:colOff>361950</xdr:colOff>
                    <xdr:row>0</xdr:row>
                    <xdr:rowOff>57150</xdr:rowOff>
                  </from>
                  <to>
                    <xdr:col>22</xdr:col>
                    <xdr:colOff>361950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476250</xdr:colOff>
                    <xdr:row>0</xdr:row>
                    <xdr:rowOff>85725</xdr:rowOff>
                  </from>
                  <to>
                    <xdr:col>23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6"/>
  <sheetViews>
    <sheetView zoomScale="85" zoomScaleNormal="85" workbookViewId="0">
      <selection activeCell="F9" sqref="F9"/>
    </sheetView>
  </sheetViews>
  <sheetFormatPr defaultRowHeight="15" x14ac:dyDescent="0.25"/>
  <cols>
    <col min="1" max="1" width="3.28515625" style="1" customWidth="1"/>
    <col min="2" max="2" width="42" style="1" bestFit="1" customWidth="1"/>
    <col min="3" max="3" width="8.5703125" style="1" customWidth="1"/>
    <col min="4" max="4" width="13.5703125" style="1" bestFit="1" customWidth="1"/>
    <col min="5" max="16384" width="9.140625" style="1"/>
  </cols>
  <sheetData>
    <row r="1" spans="2:4" ht="30.75" customHeight="1" thickBot="1" x14ac:dyDescent="0.3"/>
    <row r="2" spans="2:4" ht="30.75" customHeight="1" thickBot="1" x14ac:dyDescent="0.3">
      <c r="B2" s="118" t="str">
        <f>Publish!C4</f>
        <v>27.05.2026</v>
      </c>
      <c r="C2" s="119" t="s">
        <v>30</v>
      </c>
      <c r="D2" s="119" t="s">
        <v>24</v>
      </c>
    </row>
    <row r="3" spans="2:4" ht="30.75" customHeight="1" thickBot="1" x14ac:dyDescent="0.3">
      <c r="B3" s="120" t="s">
        <v>15</v>
      </c>
      <c r="C3" s="121" t="s">
        <v>42</v>
      </c>
      <c r="D3" s="121" t="s">
        <v>42</v>
      </c>
    </row>
    <row r="4" spans="2:4" ht="30.75" customHeight="1" thickBot="1" x14ac:dyDescent="0.3">
      <c r="B4" s="120" t="s">
        <v>31</v>
      </c>
      <c r="C4" s="121" t="s">
        <v>42</v>
      </c>
      <c r="D4" s="121" t="s">
        <v>42</v>
      </c>
    </row>
    <row r="5" spans="2:4" ht="30.75" customHeight="1" thickBot="1" x14ac:dyDescent="0.3">
      <c r="B5" s="120" t="s">
        <v>32</v>
      </c>
      <c r="C5" s="122">
        <f>Startup!E7+Startup!E9+Process!E7</f>
        <v>64</v>
      </c>
      <c r="D5" s="121">
        <f>IFERROR(Startup!R7+Startup!R9+Process!R7,0)</f>
        <v>6421</v>
      </c>
    </row>
    <row r="6" spans="2:4" ht="30.75" customHeight="1" thickBot="1" x14ac:dyDescent="0.3">
      <c r="B6" s="120" t="s">
        <v>33</v>
      </c>
      <c r="C6" s="121">
        <f>Startup!E8+Process!E9+Startup!E10</f>
        <v>61</v>
      </c>
      <c r="D6" s="121">
        <f>IFERROR(ROUND(((C6)/SUM($C$6:$C$8))*$D$5,0),0)</f>
        <v>6120</v>
      </c>
    </row>
    <row r="7" spans="2:4" ht="30.75" customHeight="1" thickBot="1" x14ac:dyDescent="0.3">
      <c r="B7" s="120" t="s">
        <v>34</v>
      </c>
      <c r="C7" s="121">
        <f>Startup!F8+Process!F9+Startup!F10</f>
        <v>0</v>
      </c>
      <c r="D7" s="121">
        <f>IFERROR(ROUND(((C7)/SUM($C$6:$C$8))*$D$5,0),0)</f>
        <v>0</v>
      </c>
    </row>
    <row r="8" spans="2:4" ht="30.75" customHeight="1" thickBot="1" x14ac:dyDescent="0.3">
      <c r="B8" s="120" t="s">
        <v>35</v>
      </c>
      <c r="C8" s="121">
        <f>Startup!G8+Process!G9+Startup!G10</f>
        <v>3</v>
      </c>
      <c r="D8" s="121">
        <f>IFERROR(ROUND(((C8)/SUM($C$6:$C$8))*$D$5,0),0)</f>
        <v>301</v>
      </c>
    </row>
    <row r="9" spans="2:4" ht="30.75" customHeight="1" thickBot="1" x14ac:dyDescent="0.3">
      <c r="B9" s="120" t="s">
        <v>36</v>
      </c>
      <c r="C9" s="122">
        <f>Process!E7</f>
        <v>11</v>
      </c>
      <c r="D9" s="121">
        <f>Process!R7</f>
        <v>1597</v>
      </c>
    </row>
    <row r="10" spans="2:4" ht="30.75" customHeight="1" thickBot="1" x14ac:dyDescent="0.3">
      <c r="B10" s="120" t="s">
        <v>37</v>
      </c>
      <c r="C10" s="122">
        <f>Startup!E7</f>
        <v>53</v>
      </c>
      <c r="D10" s="121">
        <f>IFERROR(Startup!R7,0)</f>
        <v>4824</v>
      </c>
    </row>
    <row r="11" spans="2:4" ht="30.75" customHeight="1" thickBot="1" x14ac:dyDescent="0.3">
      <c r="B11" s="120" t="s">
        <v>38</v>
      </c>
      <c r="C11" s="122" t="str">
        <f>Startup!E9</f>
        <v>0</v>
      </c>
      <c r="D11" s="121" t="str">
        <f>Startup!R9</f>
        <v>0</v>
      </c>
    </row>
    <row r="12" spans="2:4" ht="30.75" customHeight="1" thickBot="1" x14ac:dyDescent="0.3">
      <c r="B12" s="120" t="s">
        <v>39</v>
      </c>
      <c r="C12" s="123">
        <f>COUNTA(Startup!I11:I202)</f>
        <v>0</v>
      </c>
      <c r="D12" s="124"/>
    </row>
    <row r="13" spans="2:4" ht="30.75" customHeight="1" thickBot="1" x14ac:dyDescent="0.3">
      <c r="B13" s="120" t="s">
        <v>40</v>
      </c>
      <c r="C13" s="123">
        <f>COUNTA(Startup!J11:J202)</f>
        <v>4</v>
      </c>
      <c r="D13" s="124"/>
    </row>
    <row r="14" spans="2:4" ht="30.75" customHeight="1" thickBot="1" x14ac:dyDescent="0.3">
      <c r="B14" s="120" t="s">
        <v>41</v>
      </c>
      <c r="C14" s="123">
        <f>COUNTA(Startup!H11:H202)</f>
        <v>2</v>
      </c>
      <c r="D14" s="124"/>
    </row>
    <row r="15" spans="2:4" ht="30.75" customHeight="1" x14ac:dyDescent="0.25"/>
    <row r="16" spans="2:4" ht="30.75" customHeight="1" x14ac:dyDescent="0.25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E13"/>
  <sheetViews>
    <sheetView tabSelected="1" zoomScaleNormal="100" workbookViewId="0">
      <selection activeCell="B11" sqref="B11:C11"/>
    </sheetView>
  </sheetViews>
  <sheetFormatPr defaultColWidth="9.140625" defaultRowHeight="15" x14ac:dyDescent="0.25"/>
  <cols>
    <col min="1" max="1" width="7.140625" style="126" customWidth="1"/>
    <col min="2" max="2" width="21.42578125" style="125" customWidth="1"/>
    <col min="3" max="3" width="76.140625" style="126" customWidth="1"/>
    <col min="4" max="16384" width="9.140625" style="126"/>
  </cols>
  <sheetData>
    <row r="2" spans="2:5" ht="38.25" customHeight="1" thickBot="1" x14ac:dyDescent="0.3"/>
    <row r="3" spans="2:5" ht="24.95" customHeight="1" x14ac:dyDescent="0.25">
      <c r="B3" s="127" t="s">
        <v>29</v>
      </c>
      <c r="C3" s="128"/>
    </row>
    <row r="4" spans="2:5" ht="24.95" customHeight="1" x14ac:dyDescent="0.25">
      <c r="B4" s="129" t="s">
        <v>26</v>
      </c>
      <c r="C4" s="130" t="s">
        <v>121</v>
      </c>
      <c r="D4" s="131"/>
      <c r="E4" s="131"/>
    </row>
    <row r="5" spans="2:5" ht="24.95" customHeight="1" x14ac:dyDescent="0.25">
      <c r="B5" s="129" t="s">
        <v>27</v>
      </c>
      <c r="C5" s="130" t="str">
        <f>"C:\Users\Lenovo\Desktop\MAY 2026\MORNING MEETING REPORT\"&amp;C4&amp;".pptx"</f>
        <v>C:\Users\Lenovo\Desktop\MAY 2026\MORNING MEETING REPORT\27.05.2026.pptx</v>
      </c>
    </row>
    <row r="6" spans="2:5" ht="24" customHeight="1" x14ac:dyDescent="0.25">
      <c r="B6" s="129" t="s">
        <v>44</v>
      </c>
      <c r="C6" s="130">
        <v>6</v>
      </c>
    </row>
    <row r="7" spans="2:5" ht="24" customHeight="1" x14ac:dyDescent="0.25">
      <c r="B7" s="129" t="s">
        <v>45</v>
      </c>
      <c r="C7" s="130" t="s">
        <v>118</v>
      </c>
    </row>
    <row r="8" spans="2:5" ht="33" customHeight="1" thickBot="1" x14ac:dyDescent="0.3">
      <c r="B8" s="132"/>
      <c r="C8" s="133"/>
    </row>
    <row r="11" spans="2:5" x14ac:dyDescent="0.25">
      <c r="B11" s="134" t="s">
        <v>149</v>
      </c>
      <c r="C11" s="135"/>
    </row>
    <row r="12" spans="2:5" ht="21" customHeight="1" x14ac:dyDescent="0.25">
      <c r="B12" s="136" t="s">
        <v>150</v>
      </c>
      <c r="C12" s="135"/>
    </row>
    <row r="13" spans="2:5" ht="54.75" customHeight="1" x14ac:dyDescent="0.25">
      <c r="B13" s="137" t="s">
        <v>151</v>
      </c>
      <c r="C13" s="135"/>
    </row>
  </sheetData>
  <mergeCells count="4">
    <mergeCell ref="B3:C3"/>
    <mergeCell ref="B11:C11"/>
    <mergeCell ref="B12:C12"/>
    <mergeCell ref="B13:C1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MorningMeetingSlides">
                <anchor moveWithCells="1">
                  <from>
                    <xdr:col>2</xdr:col>
                    <xdr:colOff>3924300</xdr:colOff>
                    <xdr:row>7</xdr:row>
                    <xdr:rowOff>38100</xdr:rowOff>
                  </from>
                  <to>
                    <xdr:col>2</xdr:col>
                    <xdr:colOff>4953000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UpdateCostsFromStartup">
                <anchor moveWithCells="1">
                  <from>
                    <xdr:col>1</xdr:col>
                    <xdr:colOff>180975</xdr:colOff>
                    <xdr:row>7</xdr:row>
                    <xdr:rowOff>19050</xdr:rowOff>
                  </from>
                  <to>
                    <xdr:col>2</xdr:col>
                    <xdr:colOff>438150</xdr:colOff>
                    <xdr:row>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89"/>
  <sheetViews>
    <sheetView workbookViewId="0">
      <selection activeCell="D19" sqref="D19"/>
    </sheetView>
  </sheetViews>
  <sheetFormatPr defaultColWidth="45.28515625" defaultRowHeight="15" x14ac:dyDescent="0.25"/>
  <cols>
    <col min="1" max="1" width="4.85546875" style="1" bestFit="1" customWidth="1"/>
    <col min="2" max="2" width="6" style="1" bestFit="1" customWidth="1"/>
    <col min="3" max="3" width="10.85546875" style="1" bestFit="1" customWidth="1"/>
    <col min="4" max="4" width="45" style="1" bestFit="1" customWidth="1"/>
    <col min="5" max="16384" width="45.28515625" style="1"/>
  </cols>
  <sheetData>
    <row r="1" spans="1:4" x14ac:dyDescent="0.25">
      <c r="A1" s="14" t="s">
        <v>0</v>
      </c>
      <c r="B1" s="14" t="s">
        <v>1</v>
      </c>
      <c r="C1" s="14" t="s">
        <v>2</v>
      </c>
      <c r="D1" s="16" t="s">
        <v>3</v>
      </c>
    </row>
    <row r="2" spans="1:4" x14ac:dyDescent="0.25">
      <c r="A2" s="15"/>
      <c r="B2" s="15"/>
      <c r="C2" s="15"/>
      <c r="D2" s="17"/>
    </row>
    <row r="3" spans="1:4" x14ac:dyDescent="0.25">
      <c r="A3" s="8" t="s">
        <v>20</v>
      </c>
      <c r="B3" s="9"/>
      <c r="C3" s="9"/>
      <c r="D3" s="10"/>
    </row>
    <row r="4" spans="1:4" x14ac:dyDescent="0.25">
      <c r="A4" s="18"/>
      <c r="B4" s="19"/>
      <c r="C4" s="19"/>
      <c r="D4" s="20"/>
    </row>
    <row r="5" spans="1:4" x14ac:dyDescent="0.25">
      <c r="A5" s="8" t="s">
        <v>21</v>
      </c>
      <c r="B5" s="9"/>
      <c r="C5" s="9"/>
      <c r="D5" s="10"/>
    </row>
    <row r="6" spans="1:4" x14ac:dyDescent="0.25">
      <c r="A6" s="11"/>
      <c r="B6" s="12"/>
      <c r="C6" s="12"/>
      <c r="D6" s="13"/>
    </row>
    <row r="7" spans="1:4" x14ac:dyDescent="0.25">
      <c r="A7" s="2">
        <v>1</v>
      </c>
      <c r="B7" s="4" t="s">
        <v>47</v>
      </c>
      <c r="C7" s="5" t="s">
        <v>50</v>
      </c>
      <c r="D7" s="5" t="s">
        <v>68</v>
      </c>
    </row>
    <row r="8" spans="1:4" x14ac:dyDescent="0.25">
      <c r="A8" s="2">
        <v>2</v>
      </c>
      <c r="B8" s="4" t="s">
        <v>47</v>
      </c>
      <c r="C8" s="3" t="s">
        <v>100</v>
      </c>
      <c r="D8" s="3" t="s">
        <v>99</v>
      </c>
    </row>
    <row r="9" spans="1:4" x14ac:dyDescent="0.25">
      <c r="A9" s="2">
        <v>3</v>
      </c>
      <c r="B9" s="4" t="s">
        <v>47</v>
      </c>
      <c r="C9" s="3" t="s">
        <v>50</v>
      </c>
      <c r="D9" s="3" t="s">
        <v>74</v>
      </c>
    </row>
    <row r="10" spans="1:4" x14ac:dyDescent="0.25">
      <c r="A10" s="2">
        <v>31</v>
      </c>
      <c r="B10" s="4" t="s">
        <v>48</v>
      </c>
      <c r="C10" s="5" t="s">
        <v>96</v>
      </c>
      <c r="D10" s="5" t="s">
        <v>101</v>
      </c>
    </row>
    <row r="11" spans="1:4" x14ac:dyDescent="0.25">
      <c r="A11" s="2">
        <v>4</v>
      </c>
      <c r="B11" s="4" t="s">
        <v>48</v>
      </c>
      <c r="C11" s="2" t="s">
        <v>50</v>
      </c>
      <c r="D11" s="2" t="s">
        <v>81</v>
      </c>
    </row>
    <row r="12" spans="1:4" x14ac:dyDescent="0.25">
      <c r="A12" s="2">
        <v>5</v>
      </c>
      <c r="B12" s="4" t="s">
        <v>69</v>
      </c>
      <c r="C12" s="2" t="s">
        <v>75</v>
      </c>
      <c r="D12" s="2" t="s">
        <v>76</v>
      </c>
    </row>
    <row r="13" spans="1:4" x14ac:dyDescent="0.25">
      <c r="A13" s="2">
        <v>6</v>
      </c>
      <c r="B13" s="4" t="s">
        <v>69</v>
      </c>
      <c r="C13" s="2" t="s">
        <v>50</v>
      </c>
      <c r="D13" s="2" t="s">
        <v>82</v>
      </c>
    </row>
    <row r="14" spans="1:4" x14ac:dyDescent="0.25">
      <c r="A14" s="2">
        <v>7</v>
      </c>
      <c r="B14" s="4" t="s">
        <v>49</v>
      </c>
      <c r="C14" s="2" t="s">
        <v>62</v>
      </c>
      <c r="D14" s="2" t="s">
        <v>77</v>
      </c>
    </row>
    <row r="15" spans="1:4" x14ac:dyDescent="0.25">
      <c r="A15" s="2">
        <v>8</v>
      </c>
      <c r="B15" s="4" t="s">
        <v>51</v>
      </c>
      <c r="C15" s="2" t="s">
        <v>62</v>
      </c>
      <c r="D15" s="2" t="s">
        <v>83</v>
      </c>
    </row>
    <row r="16" spans="1:4" x14ac:dyDescent="0.25">
      <c r="A16" s="2">
        <v>9</v>
      </c>
      <c r="B16" s="4" t="s">
        <v>51</v>
      </c>
      <c r="C16" s="2" t="s">
        <v>85</v>
      </c>
      <c r="D16" s="2" t="s">
        <v>84</v>
      </c>
    </row>
    <row r="17" spans="1:4" x14ac:dyDescent="0.25">
      <c r="A17" s="2">
        <v>10</v>
      </c>
      <c r="B17" s="4" t="s">
        <v>63</v>
      </c>
      <c r="C17" s="2" t="s">
        <v>62</v>
      </c>
      <c r="D17" s="2" t="s">
        <v>78</v>
      </c>
    </row>
    <row r="18" spans="1:4" x14ac:dyDescent="0.25">
      <c r="A18" s="2">
        <v>11</v>
      </c>
      <c r="B18" s="4" t="s">
        <v>52</v>
      </c>
      <c r="C18" s="2" t="s">
        <v>56</v>
      </c>
      <c r="D18" s="2" t="s">
        <v>73</v>
      </c>
    </row>
    <row r="19" spans="1:4" x14ac:dyDescent="0.25">
      <c r="A19" s="2">
        <v>12</v>
      </c>
      <c r="B19" s="4" t="s">
        <v>52</v>
      </c>
      <c r="C19" s="2" t="s">
        <v>94</v>
      </c>
      <c r="D19" s="2" t="s">
        <v>93</v>
      </c>
    </row>
    <row r="20" spans="1:4" ht="22.5" x14ac:dyDescent="0.25">
      <c r="A20" s="2">
        <v>13</v>
      </c>
      <c r="B20" s="4" t="s">
        <v>53</v>
      </c>
      <c r="C20" s="2" t="s">
        <v>54</v>
      </c>
      <c r="D20" s="2" t="s">
        <v>70</v>
      </c>
    </row>
    <row r="21" spans="1:4" ht="22.5" x14ac:dyDescent="0.25">
      <c r="A21" s="2">
        <v>14</v>
      </c>
      <c r="B21" s="4" t="s">
        <v>53</v>
      </c>
      <c r="C21" s="2" t="s">
        <v>54</v>
      </c>
      <c r="D21" s="2" t="s">
        <v>86</v>
      </c>
    </row>
    <row r="22" spans="1:4" ht="22.5" x14ac:dyDescent="0.25">
      <c r="A22" s="2">
        <v>15</v>
      </c>
      <c r="B22" s="4" t="s">
        <v>53</v>
      </c>
      <c r="C22" s="2" t="s">
        <v>96</v>
      </c>
      <c r="D22" s="2" t="s">
        <v>95</v>
      </c>
    </row>
    <row r="23" spans="1:4" x14ac:dyDescent="0.25">
      <c r="A23" s="2">
        <v>16</v>
      </c>
      <c r="B23" s="4" t="s">
        <v>55</v>
      </c>
      <c r="C23" s="2" t="s">
        <v>54</v>
      </c>
      <c r="D23" s="2" t="s">
        <v>71</v>
      </c>
    </row>
    <row r="24" spans="1:4" x14ac:dyDescent="0.25">
      <c r="A24" s="2">
        <v>17</v>
      </c>
      <c r="B24" s="4" t="s">
        <v>55</v>
      </c>
      <c r="C24" s="2" t="s">
        <v>54</v>
      </c>
      <c r="D24" s="2" t="s">
        <v>87</v>
      </c>
    </row>
    <row r="25" spans="1:4" x14ac:dyDescent="0.25">
      <c r="A25" s="2">
        <v>18</v>
      </c>
      <c r="B25" s="4" t="s">
        <v>55</v>
      </c>
      <c r="C25" s="2" t="s">
        <v>97</v>
      </c>
      <c r="D25" s="2" t="s">
        <v>98</v>
      </c>
    </row>
    <row r="26" spans="1:4" ht="22.5" x14ac:dyDescent="0.25">
      <c r="A26" s="2">
        <v>19</v>
      </c>
      <c r="B26" s="4" t="s">
        <v>90</v>
      </c>
      <c r="C26" s="2" t="s">
        <v>89</v>
      </c>
      <c r="D26" s="2" t="s">
        <v>88</v>
      </c>
    </row>
    <row r="27" spans="1:4" x14ac:dyDescent="0.25">
      <c r="A27" s="2">
        <v>20</v>
      </c>
      <c r="B27" s="4" t="s">
        <v>107</v>
      </c>
      <c r="C27" s="2" t="s">
        <v>106</v>
      </c>
      <c r="D27" s="2" t="s">
        <v>105</v>
      </c>
    </row>
    <row r="28" spans="1:4" x14ac:dyDescent="0.25">
      <c r="A28" s="2">
        <v>21</v>
      </c>
      <c r="B28" s="4" t="s">
        <v>109</v>
      </c>
      <c r="C28" s="2" t="s">
        <v>94</v>
      </c>
      <c r="D28" s="2" t="s">
        <v>108</v>
      </c>
    </row>
    <row r="29" spans="1:4" x14ac:dyDescent="0.25">
      <c r="A29" s="2">
        <v>22</v>
      </c>
      <c r="B29" s="4" t="s">
        <v>64</v>
      </c>
      <c r="C29" s="2" t="s">
        <v>111</v>
      </c>
      <c r="D29" s="2" t="s">
        <v>110</v>
      </c>
    </row>
    <row r="30" spans="1:4" x14ac:dyDescent="0.25">
      <c r="A30" s="2">
        <v>23</v>
      </c>
      <c r="B30" s="4" t="s">
        <v>64</v>
      </c>
      <c r="C30" s="2" t="s">
        <v>62</v>
      </c>
      <c r="D30" s="2" t="s">
        <v>79</v>
      </c>
    </row>
    <row r="31" spans="1:4" x14ac:dyDescent="0.25">
      <c r="A31" s="2">
        <v>24</v>
      </c>
      <c r="B31" s="4" t="s">
        <v>65</v>
      </c>
      <c r="C31" s="2" t="s">
        <v>85</v>
      </c>
      <c r="D31" s="2" t="s">
        <v>112</v>
      </c>
    </row>
    <row r="32" spans="1:4" x14ac:dyDescent="0.25">
      <c r="A32" s="2">
        <v>25</v>
      </c>
      <c r="B32" s="4" t="s">
        <v>65</v>
      </c>
      <c r="C32" s="2" t="s">
        <v>62</v>
      </c>
      <c r="D32" s="2" t="s">
        <v>72</v>
      </c>
    </row>
    <row r="33" spans="1:6" x14ac:dyDescent="0.25">
      <c r="A33" s="2">
        <v>26</v>
      </c>
      <c r="B33" s="4" t="s">
        <v>65</v>
      </c>
      <c r="C33" s="2" t="s">
        <v>62</v>
      </c>
      <c r="D33" s="2" t="s">
        <v>80</v>
      </c>
    </row>
    <row r="34" spans="1:6" x14ac:dyDescent="0.25">
      <c r="A34" s="2">
        <v>27</v>
      </c>
      <c r="B34" s="4" t="s">
        <v>59</v>
      </c>
      <c r="C34" s="2" t="s">
        <v>46</v>
      </c>
      <c r="D34" s="2" t="s">
        <v>57</v>
      </c>
    </row>
    <row r="35" spans="1:6" x14ac:dyDescent="0.25">
      <c r="A35" s="2">
        <v>28</v>
      </c>
      <c r="B35" s="4" t="s">
        <v>58</v>
      </c>
      <c r="C35" s="2" t="s">
        <v>46</v>
      </c>
      <c r="D35" s="2" t="s">
        <v>67</v>
      </c>
    </row>
    <row r="36" spans="1:6" x14ac:dyDescent="0.25">
      <c r="A36" s="2">
        <v>29</v>
      </c>
      <c r="B36" s="4" t="s">
        <v>92</v>
      </c>
      <c r="C36" s="2" t="s">
        <v>46</v>
      </c>
      <c r="D36" s="2" t="s">
        <v>91</v>
      </c>
    </row>
    <row r="37" spans="1:6" x14ac:dyDescent="0.25">
      <c r="A37" s="2">
        <v>30</v>
      </c>
      <c r="B37" s="4" t="s">
        <v>60</v>
      </c>
      <c r="C37" s="2" t="s">
        <v>61</v>
      </c>
      <c r="D37" s="2" t="s">
        <v>66</v>
      </c>
    </row>
    <row r="38" spans="1:6" x14ac:dyDescent="0.25">
      <c r="A38" s="2">
        <v>32</v>
      </c>
      <c r="B38" s="4" t="s">
        <v>49</v>
      </c>
      <c r="C38" s="3" t="s">
        <v>62</v>
      </c>
      <c r="D38" s="3" t="s">
        <v>102</v>
      </c>
      <c r="F38" s="6"/>
    </row>
    <row r="39" spans="1:6" x14ac:dyDescent="0.25">
      <c r="A39" s="2">
        <v>33</v>
      </c>
      <c r="B39" s="4" t="s">
        <v>51</v>
      </c>
      <c r="C39" s="3" t="s">
        <v>50</v>
      </c>
      <c r="D39" s="3" t="s">
        <v>114</v>
      </c>
    </row>
    <row r="40" spans="1:6" x14ac:dyDescent="0.25">
      <c r="A40" s="2">
        <v>34</v>
      </c>
      <c r="B40" s="4" t="s">
        <v>63</v>
      </c>
      <c r="C40" s="2" t="s">
        <v>62</v>
      </c>
      <c r="D40" s="2" t="s">
        <v>103</v>
      </c>
    </row>
    <row r="41" spans="1:6" x14ac:dyDescent="0.25">
      <c r="A41" s="2">
        <v>35</v>
      </c>
      <c r="B41" s="4" t="s">
        <v>52</v>
      </c>
      <c r="C41" s="2" t="s">
        <v>94</v>
      </c>
      <c r="D41" s="2" t="s">
        <v>104</v>
      </c>
    </row>
    <row r="42" spans="1:6" x14ac:dyDescent="0.25">
      <c r="A42" s="2">
        <v>36</v>
      </c>
      <c r="B42" s="4" t="s">
        <v>52</v>
      </c>
      <c r="C42" s="2" t="s">
        <v>46</v>
      </c>
      <c r="D42" s="2" t="s">
        <v>113</v>
      </c>
    </row>
    <row r="43" spans="1:6" x14ac:dyDescent="0.25">
      <c r="A43" s="2">
        <v>37</v>
      </c>
      <c r="B43" s="4" t="s">
        <v>55</v>
      </c>
      <c r="C43" s="2" t="s">
        <v>54</v>
      </c>
      <c r="D43" s="2" t="s">
        <v>115</v>
      </c>
    </row>
    <row r="44" spans="1:6" x14ac:dyDescent="0.25">
      <c r="A44" s="2">
        <v>38</v>
      </c>
      <c r="B44" s="4" t="s">
        <v>64</v>
      </c>
      <c r="C44" s="2" t="s">
        <v>94</v>
      </c>
      <c r="D44" s="2" t="s">
        <v>116</v>
      </c>
    </row>
    <row r="45" spans="1:6" x14ac:dyDescent="0.25">
      <c r="A45" s="2">
        <v>39</v>
      </c>
      <c r="B45" s="4" t="s">
        <v>92</v>
      </c>
      <c r="C45" s="2" t="s">
        <v>46</v>
      </c>
      <c r="D45" s="2" t="s">
        <v>117</v>
      </c>
    </row>
    <row r="46" spans="1:6" x14ac:dyDescent="0.25">
      <c r="A46" s="2"/>
    </row>
    <row r="47" spans="1:6" x14ac:dyDescent="0.25">
      <c r="A47" s="2"/>
    </row>
    <row r="48" spans="1:6" x14ac:dyDescent="0.25">
      <c r="A48" s="2"/>
    </row>
    <row r="49" spans="1:4" x14ac:dyDescent="0.25">
      <c r="A49" s="2"/>
    </row>
    <row r="50" spans="1:4" x14ac:dyDescent="0.25">
      <c r="A50" s="2"/>
    </row>
    <row r="51" spans="1:4" x14ac:dyDescent="0.25">
      <c r="A51" s="2"/>
    </row>
    <row r="52" spans="1:4" x14ac:dyDescent="0.25">
      <c r="A52" s="2"/>
    </row>
    <row r="53" spans="1:4" x14ac:dyDescent="0.25">
      <c r="A53" s="2"/>
    </row>
    <row r="54" spans="1:4" x14ac:dyDescent="0.25">
      <c r="A54" s="2"/>
    </row>
    <row r="55" spans="1:4" x14ac:dyDescent="0.25">
      <c r="A55" s="2"/>
    </row>
    <row r="56" spans="1:4" x14ac:dyDescent="0.25">
      <c r="A56" s="2"/>
    </row>
    <row r="57" spans="1:4" x14ac:dyDescent="0.25">
      <c r="A57" s="2"/>
    </row>
    <row r="58" spans="1:4" x14ac:dyDescent="0.25">
      <c r="A58" s="2"/>
    </row>
    <row r="59" spans="1:4" x14ac:dyDescent="0.25">
      <c r="A59" s="2"/>
    </row>
    <row r="60" spans="1:4" x14ac:dyDescent="0.25">
      <c r="A60" s="2"/>
    </row>
    <row r="61" spans="1:4" x14ac:dyDescent="0.25">
      <c r="A61" s="2"/>
    </row>
    <row r="62" spans="1:4" x14ac:dyDescent="0.25">
      <c r="A62" s="2"/>
    </row>
    <row r="63" spans="1:4" x14ac:dyDescent="0.25">
      <c r="A63" s="2"/>
    </row>
    <row r="64" spans="1:4" x14ac:dyDescent="0.25">
      <c r="A64" s="2"/>
      <c r="B64" s="4"/>
      <c r="C64" s="2"/>
      <c r="D64" s="2"/>
    </row>
    <row r="65" spans="1:4" x14ac:dyDescent="0.25">
      <c r="A65" s="2"/>
      <c r="B65" s="4"/>
      <c r="C65" s="2"/>
      <c r="D65" s="2"/>
    </row>
    <row r="66" spans="1:4" x14ac:dyDescent="0.25">
      <c r="A66" s="2"/>
      <c r="B66" s="4"/>
      <c r="C66" s="2"/>
      <c r="D66" s="2"/>
    </row>
    <row r="67" spans="1:4" x14ac:dyDescent="0.25">
      <c r="A67" s="2"/>
      <c r="B67" s="4"/>
      <c r="C67" s="2"/>
      <c r="D67" s="2"/>
    </row>
    <row r="68" spans="1:4" x14ac:dyDescent="0.25">
      <c r="A68" s="2"/>
      <c r="B68" s="4"/>
      <c r="C68" s="2"/>
      <c r="D68" s="2"/>
    </row>
    <row r="69" spans="1:4" x14ac:dyDescent="0.25">
      <c r="A69" s="2"/>
      <c r="B69" s="4"/>
      <c r="C69" s="2"/>
      <c r="D69" s="2"/>
    </row>
    <row r="70" spans="1:4" x14ac:dyDescent="0.25">
      <c r="A70" s="2"/>
      <c r="B70" s="4"/>
      <c r="C70" s="2"/>
      <c r="D70" s="2"/>
    </row>
    <row r="71" spans="1:4" x14ac:dyDescent="0.25">
      <c r="A71" s="2"/>
      <c r="B71" s="4"/>
      <c r="C71" s="2"/>
      <c r="D71" s="2"/>
    </row>
    <row r="72" spans="1:4" x14ac:dyDescent="0.25">
      <c r="A72" s="2"/>
      <c r="B72" s="4"/>
      <c r="C72" s="2"/>
      <c r="D72" s="2"/>
    </row>
    <row r="73" spans="1:4" x14ac:dyDescent="0.25">
      <c r="A73" s="2"/>
      <c r="B73" s="4"/>
      <c r="C73" s="2"/>
      <c r="D73" s="2"/>
    </row>
    <row r="74" spans="1:4" x14ac:dyDescent="0.25">
      <c r="A74" s="2"/>
      <c r="B74" s="4"/>
      <c r="C74" s="2"/>
      <c r="D74" s="2"/>
    </row>
    <row r="75" spans="1:4" x14ac:dyDescent="0.25">
      <c r="A75" s="2"/>
      <c r="B75" s="4"/>
      <c r="C75" s="2"/>
      <c r="D75" s="2"/>
    </row>
    <row r="76" spans="1:4" x14ac:dyDescent="0.25">
      <c r="A76" s="2"/>
      <c r="B76" s="4"/>
      <c r="C76" s="2"/>
      <c r="D76" s="2"/>
    </row>
    <row r="77" spans="1:4" x14ac:dyDescent="0.25">
      <c r="A77" s="2"/>
      <c r="B77" s="4"/>
      <c r="C77" s="2"/>
      <c r="D77" s="2"/>
    </row>
    <row r="78" spans="1:4" x14ac:dyDescent="0.25">
      <c r="A78" s="2"/>
      <c r="B78" s="4"/>
      <c r="C78" s="2"/>
      <c r="D78" s="2"/>
    </row>
    <row r="79" spans="1:4" x14ac:dyDescent="0.25">
      <c r="A79" s="2"/>
      <c r="B79" s="4"/>
      <c r="C79" s="2"/>
      <c r="D79" s="2"/>
    </row>
    <row r="80" spans="1:4" x14ac:dyDescent="0.25">
      <c r="A80" s="2"/>
      <c r="B80" s="4"/>
      <c r="C80" s="2"/>
      <c r="D80" s="2"/>
    </row>
    <row r="81" spans="1:4" x14ac:dyDescent="0.25">
      <c r="A81" s="2"/>
      <c r="B81" s="4"/>
      <c r="C81" s="2"/>
      <c r="D81" s="2"/>
    </row>
    <row r="82" spans="1:4" x14ac:dyDescent="0.25">
      <c r="A82" s="2"/>
      <c r="B82" s="4"/>
      <c r="C82" s="2"/>
      <c r="D82" s="2"/>
    </row>
    <row r="83" spans="1:4" x14ac:dyDescent="0.25">
      <c r="A83" s="2"/>
      <c r="B83" s="4"/>
      <c r="C83" s="2"/>
      <c r="D83" s="2"/>
    </row>
    <row r="84" spans="1:4" x14ac:dyDescent="0.25">
      <c r="A84" s="2"/>
      <c r="B84" s="4"/>
      <c r="C84" s="2"/>
      <c r="D84" s="2"/>
    </row>
    <row r="85" spans="1:4" x14ac:dyDescent="0.25">
      <c r="A85" s="2"/>
      <c r="B85" s="4"/>
      <c r="C85" s="2"/>
      <c r="D85" s="2"/>
    </row>
    <row r="86" spans="1:4" x14ac:dyDescent="0.25">
      <c r="A86" s="2"/>
      <c r="B86" s="4"/>
      <c r="C86" s="2"/>
      <c r="D86" s="2"/>
    </row>
    <row r="87" spans="1:4" x14ac:dyDescent="0.25">
      <c r="A87" s="2"/>
      <c r="B87" s="4"/>
      <c r="C87" s="2"/>
      <c r="D87" s="2"/>
    </row>
    <row r="88" spans="1:4" x14ac:dyDescent="0.25">
      <c r="A88" s="2"/>
      <c r="B88" s="4"/>
      <c r="C88" s="2"/>
      <c r="D88" s="2"/>
    </row>
    <row r="89" spans="1:4" x14ac:dyDescent="0.25">
      <c r="A89" s="2"/>
      <c r="B89" s="4"/>
      <c r="C89" s="2"/>
      <c r="D89" s="2"/>
    </row>
  </sheetData>
  <mergeCells count="6">
    <mergeCell ref="A5:D6"/>
    <mergeCell ref="A1:A2"/>
    <mergeCell ref="B1:B2"/>
    <mergeCell ref="C1:C2"/>
    <mergeCell ref="D1:D2"/>
    <mergeCell ref="A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Startup</vt:lpstr>
      <vt:lpstr>Process</vt:lpstr>
      <vt:lpstr>Summary</vt:lpstr>
      <vt:lpstr>Publish</vt:lpstr>
      <vt:lpstr>Old</vt:lpstr>
      <vt:lpstr>Startup</vt:lpstr>
    </vt:vector>
  </TitlesOfParts>
  <Manager/>
  <Company>Damo Softwares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Morning meeting report</dc:title>
  <dc:subject/>
  <dc:creator>DHAMODHARAN S</dc:creator>
  <cp:keywords/>
  <dc:description/>
  <cp:lastModifiedBy>Production</cp:lastModifiedBy>
  <cp:revision/>
  <cp:lastPrinted>2026-03-24T00:55:35Z</cp:lastPrinted>
  <dcterms:created xsi:type="dcterms:W3CDTF">2025-09-09T11:13:22Z</dcterms:created>
  <dcterms:modified xsi:type="dcterms:W3CDTF">2026-05-29T10:13:19Z</dcterms:modified>
  <cp:category/>
  <cp:contentStatus/>
</cp:coreProperties>
</file>