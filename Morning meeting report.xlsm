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1600" windowHeight="9480" tabRatio="652" firstSheet="1" activeTab="3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</sheets>
  <functionGroups builtInGroupCount="18"/>
  <definedNames>
    <definedName name="_xlnm._FilterDatabase" localSheetId="1" hidden="1">Startup!$A$4:$AA$118</definedName>
    <definedName name="_xleta.SUM" hidden="1" xlm="1">#NAME?</definedName>
    <definedName name="_xleta.TEXT" hidden="1" xlm="1">#NAME?</definedName>
    <definedName name="Startup">Startup!$A$5:$W$236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2" i="1" l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Z11" i="1"/>
  <c r="Y11" i="1"/>
  <c r="X11" i="1"/>
  <c r="R11" i="2"/>
  <c r="R12" i="2"/>
  <c r="R13" i="2"/>
  <c r="R14" i="2"/>
  <c r="R15" i="2"/>
  <c r="R16" i="2"/>
  <c r="R7" i="2"/>
  <c r="Q7" i="2"/>
  <c r="P7" i="2"/>
  <c r="O7" i="2"/>
  <c r="N7" i="2"/>
  <c r="M7" i="2"/>
  <c r="L7" i="2"/>
  <c r="K7" i="2"/>
  <c r="J7" i="2"/>
  <c r="I7" i="2"/>
  <c r="H7" i="2"/>
  <c r="G9" i="2"/>
  <c r="F9" i="2"/>
  <c r="E9" i="2"/>
  <c r="E8" i="2"/>
  <c r="E7" i="2"/>
  <c r="R10" i="2"/>
  <c r="R14" i="1"/>
  <c r="R22" i="1"/>
  <c r="R30" i="1"/>
  <c r="R15" i="1"/>
  <c r="R23" i="1"/>
  <c r="R16" i="1"/>
  <c r="R24" i="1"/>
  <c r="R17" i="1"/>
  <c r="R25" i="1"/>
  <c r="R26" i="1"/>
  <c r="R19" i="1"/>
  <c r="R12" i="1"/>
  <c r="R28" i="1"/>
  <c r="R21" i="1"/>
  <c r="R29" i="1"/>
  <c r="R31" i="1"/>
  <c r="R18" i="1"/>
  <c r="R27" i="1"/>
  <c r="R20" i="1"/>
  <c r="R13" i="1"/>
  <c r="R11" i="1"/>
  <c r="Z7" i="1"/>
  <c r="Y7" i="1"/>
  <c r="X7" i="1"/>
  <c r="W7" i="1"/>
  <c r="V7" i="1"/>
  <c r="U7" i="1"/>
  <c r="R9" i="1"/>
  <c r="R7" i="1"/>
  <c r="Q7" i="1"/>
  <c r="P9" i="1"/>
  <c r="O7" i="1"/>
  <c r="N7" i="1"/>
  <c r="M7" i="1"/>
  <c r="L7" i="1"/>
  <c r="K7" i="1"/>
  <c r="J7" i="1"/>
  <c r="I7" i="1"/>
  <c r="H7" i="1"/>
  <c r="G10" i="1" l="1"/>
  <c r="F10" i="1"/>
  <c r="E10" i="1"/>
  <c r="AA18" i="1"/>
  <c r="AA17" i="1"/>
  <c r="AA26" i="1"/>
  <c r="G8" i="1"/>
  <c r="F8" i="1"/>
  <c r="E8" i="1"/>
  <c r="E7" i="1" s="1"/>
  <c r="E9" i="1"/>
  <c r="AA132" i="1" l="1"/>
  <c r="AA159" i="1"/>
  <c r="AA125" i="1"/>
  <c r="AA113" i="1"/>
  <c r="AA131" i="1"/>
  <c r="AA157" i="1"/>
  <c r="AA119" i="1"/>
  <c r="AA152" i="1"/>
  <c r="AA129" i="1"/>
  <c r="AA117" i="1"/>
  <c r="AA139" i="1"/>
  <c r="AA141" i="1"/>
  <c r="AA160" i="1"/>
  <c r="AA137" i="1"/>
  <c r="AA114" i="1"/>
  <c r="AA138" i="1"/>
  <c r="AA147" i="1"/>
  <c r="AA153" i="1"/>
  <c r="AA126" i="1"/>
  <c r="AA146" i="1"/>
  <c r="AA134" i="1"/>
  <c r="AA166" i="1"/>
  <c r="AA143" i="1"/>
  <c r="AA158" i="1"/>
  <c r="AA151" i="1"/>
  <c r="AA135" i="1"/>
  <c r="AA136" i="1"/>
  <c r="AA127" i="1"/>
  <c r="AA123" i="1"/>
  <c r="AA121" i="1"/>
  <c r="AA149" i="1"/>
  <c r="AA130" i="1"/>
  <c r="AA144" i="1"/>
  <c r="AA145" i="1"/>
  <c r="AA142" i="1"/>
  <c r="AA148" i="1"/>
  <c r="AA128" i="1"/>
  <c r="AA150" i="1"/>
  <c r="AA165" i="1"/>
  <c r="AA116" i="1"/>
  <c r="AA155" i="1"/>
  <c r="AA163" i="1"/>
  <c r="AA115" i="1"/>
  <c r="AA154" i="1"/>
  <c r="AA120" i="1"/>
  <c r="AA164" i="1"/>
  <c r="AA156" i="1"/>
  <c r="AA161" i="1"/>
  <c r="AA124" i="1"/>
  <c r="AA162" i="1"/>
  <c r="AA118" i="1"/>
  <c r="AA133" i="1"/>
  <c r="AA140" i="1"/>
  <c r="AA122" i="1"/>
  <c r="AA19" i="1"/>
  <c r="AA25" i="1"/>
  <c r="AA21" i="1"/>
  <c r="AA27" i="1"/>
  <c r="AA28" i="1"/>
  <c r="AA23" i="1"/>
  <c r="AA22" i="1"/>
  <c r="AA30" i="1"/>
  <c r="AA29" i="1"/>
  <c r="AA11" i="1"/>
  <c r="AA14" i="1"/>
  <c r="AA16" i="1"/>
  <c r="AA12" i="1"/>
  <c r="AA13" i="1"/>
  <c r="AA20" i="1"/>
  <c r="AA31" i="1"/>
  <c r="AA15" i="1"/>
  <c r="AA24" i="1"/>
  <c r="AA75" i="1"/>
  <c r="AA47" i="1"/>
  <c r="AA68" i="1"/>
  <c r="AA93" i="1"/>
  <c r="AA62" i="1"/>
  <c r="AA32" i="1"/>
  <c r="AA79" i="1"/>
  <c r="AA78" i="1"/>
  <c r="AA41" i="1"/>
  <c r="AA85" i="1"/>
  <c r="AA67" i="1"/>
  <c r="AA97" i="1"/>
  <c r="AA58" i="1"/>
  <c r="AA44" i="1"/>
  <c r="AA49" i="1"/>
  <c r="AA50" i="1"/>
  <c r="AA52" i="1"/>
  <c r="AA80" i="1"/>
  <c r="AA65" i="1"/>
  <c r="AA57" i="1"/>
  <c r="AA64" i="1"/>
  <c r="AA55" i="1"/>
  <c r="AA42" i="1"/>
  <c r="AA53" i="1"/>
  <c r="AA69" i="1"/>
  <c r="AA90" i="1"/>
  <c r="AA76" i="1"/>
  <c r="AA63" i="1"/>
  <c r="AA73" i="1"/>
  <c r="AA48" i="1"/>
  <c r="AA37" i="1"/>
  <c r="AA54" i="1"/>
  <c r="AA83" i="1"/>
  <c r="AA92" i="1"/>
  <c r="AA38" i="1"/>
  <c r="AA51" i="1"/>
  <c r="AA77" i="1"/>
  <c r="AA71" i="1"/>
  <c r="AA70" i="1"/>
  <c r="AA36" i="1"/>
  <c r="AA91" i="1"/>
  <c r="AA35" i="1"/>
  <c r="AA60" i="1"/>
  <c r="AA56" i="1"/>
  <c r="AA66" i="1"/>
  <c r="AA61" i="1"/>
  <c r="AA74" i="1"/>
  <c r="AA34" i="1"/>
  <c r="AA33" i="1"/>
  <c r="AA43" i="1"/>
  <c r="AA39" i="1"/>
  <c r="AA40" i="1"/>
  <c r="AA72" i="1"/>
  <c r="AA94" i="1"/>
  <c r="AA45" i="1"/>
  <c r="AA59" i="1"/>
  <c r="AA46" i="1"/>
  <c r="AA84" i="1"/>
  <c r="B2" i="4" l="1"/>
  <c r="AA108" i="1"/>
  <c r="AA106" i="1"/>
  <c r="AA111" i="1"/>
  <c r="AA109" i="1"/>
  <c r="AA110" i="1"/>
  <c r="AA107" i="1"/>
  <c r="AA104" i="1"/>
  <c r="AA103" i="1"/>
  <c r="AA105" i="1"/>
  <c r="AA102" i="1"/>
  <c r="AA101" i="1"/>
  <c r="AA88" i="1"/>
  <c r="AA100" i="1"/>
  <c r="AA81" i="1"/>
  <c r="AA89" i="1"/>
  <c r="AA96" i="1"/>
  <c r="AA98" i="1"/>
  <c r="AA87" i="1"/>
  <c r="AA99" i="1"/>
  <c r="AA82" i="1"/>
  <c r="AA86" i="1"/>
  <c r="AA95" i="1"/>
  <c r="C8" i="4" l="1"/>
  <c r="C7" i="4"/>
  <c r="C6" i="4"/>
  <c r="C5" i="4"/>
  <c r="C13" i="4"/>
  <c r="C14" i="4" l="1"/>
  <c r="C12" i="4"/>
  <c r="C9" i="4" l="1"/>
  <c r="D9" i="4"/>
  <c r="C11" i="4" l="1"/>
  <c r="D11" i="4"/>
  <c r="C10" i="4" l="1"/>
  <c r="D5" i="4"/>
  <c r="D10" i="4"/>
  <c r="D8" i="4" l="1"/>
  <c r="D6" i="4"/>
  <c r="D7" i="4"/>
</calcChain>
</file>

<file path=xl/sharedStrings.xml><?xml version="1.0" encoding="utf-8"?>
<sst xmlns="http://schemas.openxmlformats.org/spreadsheetml/2006/main" count="166" uniqueCount="95">
  <si>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</si>
  <si>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</si>
  <si>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</si>
  <si>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</si>
  <si>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</si>
  <si>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</si>
  <si>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</si>
  <si>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</si>
  <si>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</si>
  <si>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</si>
  <si>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</si>
  <si>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</si>
  <si>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</si>
  <si>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</si>
  <si>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</si>
  <si>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</si>
  <si>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</si>
  <si>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</si>
  <si>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</si>
  <si>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</si>
  <si>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</si>
  <si>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</si>
  <si>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</si>
  <si>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</si>
  <si>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</si>
  <si>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</si>
  <si>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</si>
  <si>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</si>
  <si>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</si>
  <si>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</si>
  <si>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>POWER CUT COST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</si>
  <si>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</si>
  <si>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</si>
  <si>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</si>
  <si>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</si>
  <si>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</si>
  <si>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</si>
  <si>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</si>
  <si>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</si>
  <si>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</si>
  <si>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</si>
  <si>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</si>
  <si>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</si>
  <si>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</si>
  <si>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</si>
  <si>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4</t>
  </si>
  <si>
    <t>8</t>
  </si>
  <si>
    <t>3</t>
  </si>
  <si>
    <t>2000-1</t>
  </si>
  <si>
    <t>850-2</t>
  </si>
  <si>
    <t>18.11.2025</t>
  </si>
  <si>
    <t>C:\Users\Lenovo\Desktop\NOV 2025\MORNING MEETING REPORT\18.11.2025.pptx</t>
  </si>
  <si>
    <t>SUMMARY SLIDE NO:</t>
  </si>
  <si>
    <t>STIFFENER ASSY FR BUMPER LWR</t>
  </si>
  <si>
    <t>BI3PE</t>
  </si>
  <si>
    <t>OIL LEAKAGE ISSUE</t>
  </si>
  <si>
    <t>SU2iPE</t>
  </si>
  <si>
    <t>5</t>
  </si>
  <si>
    <t>MATERIAL CONVEYING PROBLEM, LUMPS LEAKAGE</t>
  </si>
  <si>
    <t>MOULDING ASSY-SIDE SILL,LH/RH</t>
  </si>
  <si>
    <t>SU2i</t>
  </si>
  <si>
    <t>1800-2</t>
  </si>
  <si>
    <t>2/2</t>
  </si>
  <si>
    <t>COVER-GLOVE BOX RHD NNB</t>
  </si>
  <si>
    <t>550-2</t>
  </si>
  <si>
    <t>Ai3</t>
  </si>
  <si>
    <t>2500-1</t>
  </si>
  <si>
    <t>TRIM LUGGAGE SIDE-LH NNB</t>
  </si>
  <si>
    <t>SU2iFL</t>
  </si>
  <si>
    <t>TRIM-LUGG SIDE W/O SPKR,RH YGN</t>
  </si>
  <si>
    <t>SCORING ISSUE</t>
  </si>
  <si>
    <t>HOUSING GLOVE BOX LHD</t>
  </si>
  <si>
    <t>850-3</t>
  </si>
  <si>
    <t>BN7i</t>
  </si>
  <si>
    <t>650-1</t>
  </si>
  <si>
    <t>BRACKET - BASE A/T PSL RHD</t>
  </si>
  <si>
    <t>6</t>
  </si>
  <si>
    <t>3+3</t>
  </si>
  <si>
    <t>BRACKET - BASE A/T PSL LHD</t>
  </si>
  <si>
    <t>2300-1</t>
  </si>
  <si>
    <t>TRIM LUGG SIDE LH  STD W/O SPKR RDE WDN</t>
  </si>
  <si>
    <t>TRIM LUGG SIDE LH  STD W/O SPKR RDE YGN</t>
  </si>
  <si>
    <t>PS7iPE</t>
  </si>
  <si>
    <t>2</t>
  </si>
  <si>
    <t>ROBOT TAKEOUT ISSUE</t>
  </si>
  <si>
    <t>STARTUP TIME 3rd GATE OVER DEGRADE  ISSUE</t>
  </si>
  <si>
    <t>PNL ASSY-CRASH PAD LWR D/SIDE MMH LHD -SSB</t>
  </si>
  <si>
    <t>550-1</t>
  </si>
  <si>
    <t xml:space="preserve">GS CALTAX MATERIAL RUNNING
 TIME ISSUE HAPPENED </t>
  </si>
  <si>
    <t>PNL FR DR MAIN TRIM LH/RH YGN</t>
  </si>
  <si>
    <t>12</t>
  </si>
  <si>
    <t>4/4</t>
  </si>
  <si>
    <t>1800-1</t>
  </si>
  <si>
    <t>3/3</t>
  </si>
  <si>
    <t>RUNNING TIME SHORTFILL HAPPEN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</si>
</sst>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8"/>
      <color theme="1"/>
      <name val="Malgun Gothic"/>
      <family val="2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4"/>
      <color rgb="FFFF0000"/>
      <name val="Aptos Narrow"/>
    </font>
    <font>
      <b/>
      <sz val="14"/>
      <color rgb="FF008000"/>
      <name val="Aptos Narrow"/>
    </font>
    <font>
      <b/>
      <sz val="12"/>
      <color rgb="FF0000FF"/>
      <name val="Aptos Narrow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  <font>
      <b/>
      <sz val="10"/>
      <color theme="1"/>
      <name val="Malgun Gothic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41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</borders>
  <cellStyleXfs count="2">
    <xf numFmtId="0" fontId="0" fillId="0" borderId="0"/>
    <xf numFmtId="0" fontId="8" fillId="0" borderId="0"/>
  </cellStyleXfs>
  <cellXfs count="16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10" fillId="5" borderId="27" xfId="0" applyFont="1" applyFill="1" applyBorder="1" applyAlignment="1">
      <alignment horizontal="right" vertical="center"/>
    </xf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7" fillId="0" borderId="0" xfId="0" applyFont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1" fillId="0" borderId="1" xfId="0" applyNumberFormat="1" applyFont="1" applyBorder="1" applyAlignment="1">
      <alignment horizontal="center" vertical="center" wrapText="1" readingOrder="1"/>
    </xf>
    <xf numFmtId="49" fontId="4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0" fontId="1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/>
    <xf numFmtId="0" fontId="5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 applyAlignment="1">
      <alignment horizontal="center" vertical="center"/>
    </xf>
    <xf numFmtId="16" fontId="3" fillId="0" borderId="0" xfId="0" quotePrefix="1" applyNumberFormat="1" applyFont="1"/>
    <xf numFmtId="0" fontId="2" fillId="2" borderId="1" xfId="0" applyNumberFormat="1" applyFont="1" applyFill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1" fillId="0" borderId="4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/>
    <xf numFmtId="0" fontId="17" fillId="0" borderId="0" xfId="0" applyNumberFormat="1" applyFont="1"/>
    <xf numFmtId="49" fontId="6" fillId="3" borderId="15" xfId="0" applyNumberFormat="1" applyFont="1" applyFill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0" fontId="17" fillId="0" borderId="0" xfId="0" applyFont="1" applyAlignment="1">
      <alignment horizontal="center" vertical="center" readingOrder="1"/>
    </xf>
    <xf numFmtId="49" fontId="17" fillId="0" borderId="0" xfId="0" applyNumberFormat="1" applyFont="1" applyAlignment="1">
      <alignment horizontal="center" vertical="center" readingOrder="1"/>
    </xf>
    <xf numFmtId="0" fontId="11" fillId="4" borderId="8" xfId="0" applyFont="1" applyFill="1" applyBorder="1" applyAlignment="1">
      <alignment horizontal="center" vertical="center" readingOrder="1"/>
    </xf>
    <xf numFmtId="0" fontId="11" fillId="4" borderId="8" xfId="0" applyNumberFormat="1" applyFont="1" applyFill="1" applyBorder="1" applyAlignment="1">
      <alignment horizontal="center" vertical="center" readingOrder="1"/>
    </xf>
    <xf numFmtId="0" fontId="17" fillId="0" borderId="0" xfId="0" applyNumberFormat="1" applyFont="1" applyAlignment="1">
      <alignment horizontal="center" vertical="center" readingOrder="1"/>
    </xf>
    <xf numFmtId="14" fontId="22" fillId="6" borderId="33" xfId="0" applyNumberFormat="1" applyFont="1" applyFill="1" applyBorder="1" applyAlignment="1">
      <alignment horizontal="center" vertical="center" wrapText="1" readingOrder="1"/>
    </xf>
    <xf numFmtId="0" fontId="22" fillId="6" borderId="33" xfId="0" applyFont="1" applyFill="1" applyBorder="1" applyAlignment="1">
      <alignment horizontal="center" vertical="center" wrapText="1" readingOrder="1"/>
    </xf>
    <xf numFmtId="0" fontId="23" fillId="0" borderId="33" xfId="0" applyFont="1" applyBorder="1" applyAlignment="1">
      <alignment horizontal="center" vertical="center" wrapText="1" readingOrder="1"/>
    </xf>
    <xf numFmtId="0" fontId="21" fillId="0" borderId="0" xfId="0" applyNumberFormat="1" applyFont="1"/>
    <xf numFmtId="0" fontId="23" fillId="7" borderId="33" xfId="0" applyFont="1" applyFill="1" applyBorder="1" applyAlignment="1">
      <alignment horizontal="center" vertical="center" wrapText="1" readingOrder="1"/>
    </xf>
    <xf numFmtId="0" fontId="24" fillId="0" borderId="3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1" fillId="2" borderId="2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 readingOrder="1"/>
    </xf>
    <xf numFmtId="0" fontId="16" fillId="0" borderId="0" xfId="0" applyFont="1" applyAlignment="1"/>
    <xf numFmtId="0" fontId="17" fillId="0" borderId="0" xfId="0" applyFont="1" applyBorder="1" applyAlignment="1">
      <alignment horizontal="center" vertical="center" readingOrder="1"/>
    </xf>
    <xf numFmtId="0" fontId="16" fillId="0" borderId="0" xfId="0" applyFont="1" applyBorder="1" applyAlignment="1"/>
    <xf numFmtId="49" fontId="5" fillId="0" borderId="0" xfId="0" applyNumberFormat="1" applyFont="1" applyBorder="1" applyAlignment="1">
      <alignment horizontal="center" vertical="center" wrapText="1" readingOrder="1"/>
    </xf>
    <xf numFmtId="0" fontId="14" fillId="0" borderId="0" xfId="0" applyNumberFormat="1" applyFont="1" applyBorder="1" applyAlignment="1">
      <alignment horizontal="center" vertical="center" wrapText="1" readingOrder="1"/>
    </xf>
    <xf numFmtId="49" fontId="7" fillId="0" borderId="0" xfId="0" applyNumberFormat="1" applyFont="1" applyBorder="1" applyAlignment="1">
      <alignment horizontal="center" vertical="center" wrapText="1" readingOrder="1"/>
    </xf>
    <xf numFmtId="0" fontId="15" fillId="0" borderId="0" xfId="0" applyNumberFormat="1" applyFont="1" applyBorder="1" applyAlignment="1">
      <alignment horizontal="center" vertical="center" wrapText="1" readingOrder="1"/>
    </xf>
    <xf numFmtId="0" fontId="7" fillId="0" borderId="0" xfId="0" applyNumberFormat="1" applyFont="1" applyBorder="1" applyAlignment="1">
      <alignment horizontal="center" vertical="center" wrapText="1" readingOrder="1"/>
    </xf>
    <xf numFmtId="0" fontId="11" fillId="4" borderId="0" xfId="0" applyNumberFormat="1" applyFont="1" applyFill="1" applyBorder="1" applyAlignment="1">
      <alignment horizontal="center" vertical="center" readingOrder="1"/>
    </xf>
    <xf numFmtId="0" fontId="16" fillId="0" borderId="0" xfId="0" applyFont="1" applyBorder="1" applyAlignment="1">
      <alignment horizontal="center" vertical="center" readingOrder="1"/>
    </xf>
    <xf numFmtId="0" fontId="17" fillId="0" borderId="0" xfId="0" applyNumberFormat="1" applyFont="1" applyBorder="1" applyAlignment="1">
      <alignment horizontal="center" vertical="center" readingOrder="1"/>
    </xf>
    <xf numFmtId="49" fontId="1" fillId="0" borderId="19" xfId="0" applyNumberFormat="1" applyFont="1" applyBorder="1" applyAlignment="1">
      <alignment horizontal="center" vertical="center" wrapText="1" readingOrder="1"/>
    </xf>
    <xf numFmtId="49" fontId="1" fillId="0" borderId="5" xfId="0" applyNumberFormat="1" applyFont="1" applyBorder="1" applyAlignment="1">
      <alignment horizontal="center" vertical="center" wrapText="1" readingOrder="1"/>
    </xf>
    <xf numFmtId="49" fontId="6" fillId="0" borderId="19" xfId="0" applyNumberFormat="1" applyFont="1" applyBorder="1" applyAlignment="1">
      <alignment horizontal="center" vertical="center" wrapText="1" readingOrder="1"/>
    </xf>
    <xf numFmtId="49" fontId="15" fillId="0" borderId="19" xfId="0" applyNumberFormat="1" applyFont="1" applyBorder="1" applyAlignment="1">
      <alignment horizontal="center" vertical="center" wrapText="1" readingOrder="1"/>
    </xf>
    <xf numFmtId="0" fontId="15" fillId="0" borderId="19" xfId="0" applyFont="1" applyBorder="1" applyAlignment="1">
      <alignment horizontal="center" vertical="center" wrapText="1" readingOrder="1"/>
    </xf>
    <xf numFmtId="0" fontId="17" fillId="0" borderId="0" xfId="0" applyFont="1" applyBorder="1"/>
    <xf numFmtId="49" fontId="2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/>
    </xf>
    <xf numFmtId="49" fontId="11" fillId="4" borderId="8" xfId="0" applyNumberFormat="1" applyFont="1" applyFill="1" applyBorder="1" applyAlignment="1">
      <alignment horizontal="center" vertical="center" readingOrder="1"/>
    </xf>
    <xf numFmtId="0" fontId="3" fillId="0" borderId="0" xfId="0" applyFont="1" applyAlignment="1">
      <alignment horizontal="center" vertical="center" wrapText="1"/>
    </xf>
    <xf numFmtId="0" fontId="14" fillId="0" borderId="1" xfId="0" applyNumberFormat="1" applyFont="1" applyBorder="1" applyAlignment="1">
      <alignment horizontal="center" vertical="center" wrapText="1" readingOrder="1"/>
    </xf>
    <xf numFmtId="0" fontId="25" fillId="0" borderId="0" xfId="0" applyFon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0" xfId="0" applyNumberFormat="1" applyFont="1" applyBorder="1" applyAlignment="1">
      <alignment horizontal="center" vertical="center" wrapText="1" readingOrder="1"/>
    </xf>
    <xf numFmtId="0" fontId="2" fillId="0" borderId="38" xfId="0" applyFont="1" applyBorder="1" applyAlignment="1">
      <alignment horizontal="center" vertical="center" wrapText="1" readingOrder="1"/>
    </xf>
    <xf numFmtId="0" fontId="1" fillId="0" borderId="15" xfId="0" applyFont="1" applyBorder="1" applyAlignment="1">
      <alignment horizontal="center" vertical="center" wrapText="1" readingOrder="1"/>
    </xf>
    <xf numFmtId="0" fontId="1" fillId="3" borderId="39" xfId="0" applyFont="1" applyFill="1" applyBorder="1" applyAlignment="1">
      <alignment horizontal="center" vertical="center" wrapText="1" readingOrder="1"/>
    </xf>
    <xf numFmtId="0" fontId="1" fillId="3" borderId="1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0" fillId="0" borderId="0" xfId="0" applyNumberFormat="1"/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6" fillId="0" borderId="1" xfId="0" applyFont="1" applyBorder="1" applyAlignment="1">
      <alignment horizontal="center" vertical="center" wrapText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0" xfId="0" applyFont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9" fillId="0" borderId="11" xfId="0" applyNumberFormat="1" applyFont="1" applyBorder="1" applyAlignment="1">
      <alignment horizontal="center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>
      <alignment horizontal="center" vertical="center" wrapText="1"/>
    </xf>
    <xf numFmtId="0" fontId="5" fillId="0" borderId="2" xfId="0" applyNumberFormat="1" applyFont="1" applyBorder="1" applyAlignment="1">
      <alignment horizontal="center" vertical="center" wrapText="1" readingOrder="1"/>
    </xf>
    <xf numFmtId="0" fontId="5" fillId="0" borderId="3" xfId="0" applyNumberFormat="1" applyFont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0" fontId="2" fillId="2" borderId="3" xfId="0" applyNumberFormat="1" applyFont="1" applyFill="1" applyBorder="1" applyAlignment="1">
      <alignment horizontal="center" vertical="center" wrapText="1" readingOrder="1"/>
    </xf>
    <xf numFmtId="0" fontId="14" fillId="0" borderId="2" xfId="0" applyNumberFormat="1" applyFont="1" applyBorder="1" applyAlignment="1">
      <alignment horizontal="center" vertical="center" wrapText="1" readingOrder="1"/>
    </xf>
    <xf numFmtId="0" fontId="1" fillId="0" borderId="2" xfId="0" applyNumberFormat="1" applyFont="1" applyBorder="1" applyAlignment="1">
      <alignment horizontal="center" vertical="center" wrapText="1" readingOrder="1"/>
    </xf>
    <xf numFmtId="0" fontId="1" fillId="0" borderId="3" xfId="0" applyNumberFormat="1" applyFont="1" applyBorder="1" applyAlignment="1">
      <alignment horizontal="center" vertical="center" wrapText="1" readingOrder="1"/>
    </xf>
    <xf numFmtId="0" fontId="3" fillId="0" borderId="2" xfId="0" applyNumberFormat="1" applyFont="1" applyBorder="1" applyAlignment="1">
      <alignment horizontal="center" wrapText="1"/>
    </xf>
    <xf numFmtId="0" fontId="3" fillId="0" borderId="3" xfId="0" applyNumberFormat="1" applyFont="1" applyBorder="1" applyAlignment="1">
      <alignment horizont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NumberFormat="1" applyFont="1" applyFill="1" applyBorder="1" applyAlignment="1">
      <alignment horizontal="center" vertical="center" wrapText="1" readingOrder="1"/>
    </xf>
    <xf numFmtId="0" fontId="1" fillId="3" borderId="11" xfId="0" applyNumberFormat="1" applyFont="1" applyFill="1" applyBorder="1" applyAlignment="1">
      <alignment horizontal="center" vertical="center" wrapText="1" readingOrder="1"/>
    </xf>
    <xf numFmtId="0" fontId="1" fillId="3" borderId="12" xfId="0" applyNumberFormat="1" applyFont="1" applyFill="1" applyBorder="1" applyAlignment="1">
      <alignment horizontal="center" vertical="center" wrapText="1" readingOrder="1"/>
    </xf>
    <xf numFmtId="0" fontId="2" fillId="2" borderId="7" xfId="0" applyNumberFormat="1" applyFont="1" applyFill="1" applyBorder="1" applyAlignment="1">
      <alignment horizontal="center" vertical="center" wrapText="1" readingOrder="1"/>
    </xf>
    <xf numFmtId="0" fontId="2" fillId="2" borderId="8" xfId="0" applyNumberFormat="1" applyFont="1" applyFill="1" applyBorder="1" applyAlignment="1">
      <alignment horizontal="center" vertical="center" wrapText="1" readingOrder="1"/>
    </xf>
    <xf numFmtId="0" fontId="2" fillId="2" borderId="9" xfId="0" applyNumberFormat="1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NumberFormat="1" applyFont="1" applyFill="1" applyBorder="1" applyAlignment="1">
      <alignment horizontal="center" vertical="center" wrapText="1" readingOrder="1"/>
    </xf>
    <xf numFmtId="0" fontId="1" fillId="3" borderId="5" xfId="0" applyNumberFormat="1" applyFont="1" applyFill="1" applyBorder="1" applyAlignment="1">
      <alignment horizontal="center" vertical="center" wrapText="1" readingOrder="1"/>
    </xf>
    <xf numFmtId="0" fontId="1" fillId="3" borderId="6" xfId="0" applyNumberFormat="1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 readingOrder="1"/>
    </xf>
    <xf numFmtId="0" fontId="2" fillId="2" borderId="17" xfId="0" applyFont="1" applyFill="1" applyBorder="1" applyAlignment="1">
      <alignment horizontal="center" vertical="center" wrapText="1" readingOrder="1"/>
    </xf>
    <xf numFmtId="0" fontId="2" fillId="2" borderId="22" xfId="0" applyFont="1" applyFill="1" applyBorder="1" applyAlignment="1">
      <alignment horizontal="center" vertical="center" wrapText="1" readingOrder="1"/>
    </xf>
    <xf numFmtId="0" fontId="2" fillId="2" borderId="23" xfId="0" applyFont="1" applyFill="1" applyBorder="1" applyAlignment="1">
      <alignment horizontal="center" vertical="center" wrapText="1" readingOrder="1"/>
    </xf>
    <xf numFmtId="0" fontId="2" fillId="2" borderId="24" xfId="0" applyFont="1" applyFill="1" applyBorder="1" applyAlignment="1">
      <alignment horizontal="center" vertical="center" wrapText="1" readingOrder="1"/>
    </xf>
    <xf numFmtId="0" fontId="2" fillId="2" borderId="31" xfId="0" applyFont="1" applyFill="1" applyBorder="1" applyAlignment="1">
      <alignment horizontal="center" vertical="center" wrapText="1" readingOrder="1"/>
    </xf>
    <xf numFmtId="0" fontId="2" fillId="2" borderId="32" xfId="0" applyFont="1" applyFill="1" applyBorder="1" applyAlignment="1">
      <alignment horizontal="center" vertical="center" wrapText="1" readingOrder="1"/>
    </xf>
    <xf numFmtId="0" fontId="2" fillId="2" borderId="18" xfId="0" applyFont="1" applyFill="1" applyBorder="1" applyAlignment="1">
      <alignment horizontal="center" vertical="center" wrapText="1" readingOrder="1"/>
    </xf>
    <xf numFmtId="0" fontId="2" fillId="2" borderId="19" xfId="0" applyFont="1" applyFill="1" applyBorder="1" applyAlignment="1">
      <alignment horizontal="center" vertical="center" wrapText="1" readingOrder="1"/>
    </xf>
    <xf numFmtId="0" fontId="2" fillId="2" borderId="20" xfId="0" applyFont="1" applyFill="1" applyBorder="1" applyAlignment="1">
      <alignment horizontal="center" vertical="center" wrapText="1" readingOrder="1"/>
    </xf>
    <xf numFmtId="0" fontId="1" fillId="3" borderId="18" xfId="0" applyNumberFormat="1" applyFont="1" applyFill="1" applyBorder="1" applyAlignment="1">
      <alignment horizontal="center" vertical="center" wrapText="1" readingOrder="1"/>
    </xf>
    <xf numFmtId="0" fontId="1" fillId="3" borderId="19" xfId="0" applyNumberFormat="1" applyFont="1" applyFill="1" applyBorder="1" applyAlignment="1">
      <alignment horizontal="center" vertical="center" wrapText="1" readingOrder="1"/>
    </xf>
    <xf numFmtId="0" fontId="1" fillId="3" borderId="20" xfId="0" applyNumberFormat="1" applyFont="1" applyFill="1" applyBorder="1" applyAlignment="1">
      <alignment horizontal="center" vertical="center" wrapText="1" readingOrder="1"/>
    </xf>
    <xf numFmtId="0" fontId="1" fillId="0" borderId="24" xfId="0" applyFont="1" applyBorder="1" applyAlignment="1">
      <alignment horizontal="center" vertical="center" wrapText="1" readingOrder="1"/>
    </xf>
    <xf numFmtId="0" fontId="1" fillId="0" borderId="32" xfId="0" applyFont="1" applyBorder="1" applyAlignment="1">
      <alignment horizontal="center" vertical="center" wrapText="1" readingOrder="1"/>
    </xf>
    <xf numFmtId="0" fontId="1" fillId="0" borderId="37" xfId="0" applyFont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0" fontId="2" fillId="2" borderId="19" xfId="0" applyNumberFormat="1" applyFont="1" applyFill="1" applyBorder="1" applyAlignment="1">
      <alignment horizontal="center" vertical="center" wrapText="1" readingOrder="1"/>
    </xf>
    <xf numFmtId="0" fontId="2" fillId="2" borderId="20" xfId="0" applyNumberFormat="1" applyFont="1" applyFill="1" applyBorder="1" applyAlignment="1">
      <alignment horizontal="center" vertical="center" wrapText="1" readingOrder="1"/>
    </xf>
    <xf numFmtId="0" fontId="1" fillId="0" borderId="16" xfId="0" applyFont="1" applyBorder="1" applyAlignment="1">
      <alignment horizontal="center" vertical="center" wrapText="1" readingOrder="1"/>
    </xf>
    <xf numFmtId="0" fontId="1" fillId="0" borderId="21" xfId="0" applyFont="1" applyBorder="1" applyAlignment="1">
      <alignment horizontal="center" vertical="center" wrapText="1" readingOrder="1"/>
    </xf>
    <xf numFmtId="0" fontId="1" fillId="0" borderId="40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21" fillId="2" borderId="2" xfId="0" applyNumberFormat="1" applyFont="1" applyFill="1" applyBorder="1" applyAlignment="1">
      <alignment horizontal="center" vertical="center" wrapText="1"/>
    </xf>
    <xf numFmtId="0" fontId="21" fillId="2" borderId="36" xfId="0" applyNumberFormat="1" applyFont="1" applyFill="1" applyBorder="1" applyAlignment="1">
      <alignment horizontal="center" vertical="center" wrapText="1"/>
    </xf>
    <xf numFmtId="0" fontId="5" fillId="0" borderId="24" xfId="0" applyNumberFormat="1" applyFont="1" applyBorder="1" applyAlignment="1">
      <alignment horizontal="center" vertical="center" wrapText="1" readingOrder="1"/>
    </xf>
    <xf numFmtId="0" fontId="5" fillId="0" borderId="32" xfId="0" applyNumberFormat="1" applyFont="1" applyBorder="1" applyAlignment="1">
      <alignment horizontal="center" vertical="center" wrapText="1" readingOrder="1"/>
    </xf>
    <xf numFmtId="0" fontId="5" fillId="0" borderId="37" xfId="0" applyNumberFormat="1" applyFont="1" applyBorder="1" applyAlignment="1">
      <alignment horizontal="center" vertical="center" wrapText="1" readingOrder="1"/>
    </xf>
    <xf numFmtId="0" fontId="2" fillId="2" borderId="16" xfId="0" applyNumberFormat="1" applyFont="1" applyFill="1" applyBorder="1" applyAlignment="1">
      <alignment horizontal="center" vertical="center" wrapText="1" readingOrder="1"/>
    </xf>
    <xf numFmtId="0" fontId="2" fillId="2" borderId="21" xfId="0" applyNumberFormat="1" applyFont="1" applyFill="1" applyBorder="1" applyAlignment="1">
      <alignment horizontal="center" vertical="center" wrapText="1" readingOrder="1"/>
    </xf>
    <xf numFmtId="49" fontId="1" fillId="0" borderId="23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4" fillId="0" borderId="34" xfId="0" applyFont="1" applyBorder="1" applyAlignment="1">
      <alignment horizontal="center" vertical="center" wrapText="1" readingOrder="1"/>
    </xf>
    <xf numFmtId="0" fontId="24" fillId="0" borderId="35" xfId="0" applyFont="1" applyBorder="1" applyAlignment="1">
      <alignment horizontal="center" vertical="center" wrapText="1" readingOrder="1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</cellXfs>
  <cellStyles count="2">
    <cellStyle name="Normal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138954</xdr:rowOff>
    </xdr:from>
    <xdr:to>
      <xdr:col>26</xdr:col>
      <xdr:colOff>9525</xdr:colOff>
      <xdr:row>3</xdr:row>
      <xdr:rowOff>52108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138954"/>
          <a:ext cx="17087850" cy="446554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159108</xdr:colOff>
          <xdr:row>1</xdr:row>
          <xdr:rowOff>2802</xdr:rowOff>
        </xdr:from>
        <xdr:to>
          <xdr:col>28</xdr:col>
          <xdr:colOff>44869</xdr:colOff>
          <xdr:row>4</xdr:row>
          <xdr:rowOff>120466</xdr:rowOff>
        </xdr:to>
        <xdr:grpSp>
          <xdr:nvGrpSpPr>
            <xdr:cNvPr id="3" name="Group 2"/>
            <xdr:cNvGrpSpPr/>
          </xdr:nvGrpSpPr>
          <xdr:grpSpPr>
            <a:xfrm>
              <a:off x="14581079" y="148478"/>
              <a:ext cx="1925231" cy="756400"/>
              <a:chOff x="16792502" y="76200"/>
              <a:chExt cx="1064609" cy="675157"/>
            </a:xfrm>
            <a:solidFill>
              <a:schemeClr val="accent2"/>
            </a:solidFill>
            <a:effectLst>
              <a:outerShdw blurRad="50800" dist="38100" dir="2700000" algn="tl" rotWithShape="0">
                <a:schemeClr val="accent3">
                  <a:alpha val="40000"/>
                </a:schemeClr>
              </a:outerShdw>
            </a:effectLst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 bwMode="auto">
              <a:xfrm>
                <a:off x="16792502" y="76200"/>
                <a:ext cx="1064560" cy="27230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16802078" y="457204"/>
                <a:ext cx="1055033" cy="29415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ORGANISE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18</xdr:col>
      <xdr:colOff>1733550</xdr:colOff>
      <xdr:row>3</xdr:row>
      <xdr:rowOff>8551</xdr:rowOff>
    </xdr:to>
    <xdr:sp macro="" textlink="">
      <xdr:nvSpPr>
        <xdr:cNvPr id="2" name="processrejection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1461377" cy="545873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ko-KR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범례 </a:t>
          </a:r>
          <a:r>
            <a:rPr kumimoji="0" lang="en-US" altLang="ko-KR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:      1)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	2) STREAKS		3) UNDER CUT			4) BLACK MARK		5) AIR BUBBLE ISSUE</a:t>
          </a: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              6) DAMAGE	7) WATER MARK	8) RIB CATCHUP ISSUE 	9) CONTAMINATION		10) SHINING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MARK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ISSUE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327773</xdr:colOff>
          <xdr:row>0</xdr:row>
          <xdr:rowOff>108137</xdr:rowOff>
        </xdr:from>
        <xdr:to>
          <xdr:col>22</xdr:col>
          <xdr:colOff>11206</xdr:colOff>
          <xdr:row>3</xdr:row>
          <xdr:rowOff>22412</xdr:rowOff>
        </xdr:to>
        <xdr:grpSp>
          <xdr:nvGrpSpPr>
            <xdr:cNvPr id="3" name="Group 2"/>
            <xdr:cNvGrpSpPr/>
          </xdr:nvGrpSpPr>
          <xdr:grpSpPr>
            <a:xfrm>
              <a:off x="11825008" y="108137"/>
              <a:ext cx="1823757" cy="553010"/>
              <a:chOff x="14300160" y="209580"/>
              <a:chExt cx="1822115" cy="914403"/>
            </a:xfrm>
          </xdr:grpSpPr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 bwMode="auto">
              <a:xfrm>
                <a:off x="14316074" y="209580"/>
                <a:ext cx="1790701" cy="3714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 bwMode="auto">
              <a:xfrm>
                <a:off x="14300160" y="733458"/>
                <a:ext cx="1822115" cy="390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ORGANISE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6</xdr:row>
          <xdr:rowOff>38100</xdr:rowOff>
        </xdr:from>
        <xdr:to>
          <xdr:col>2</xdr:col>
          <xdr:colOff>5010150</xdr:colOff>
          <xdr:row>6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180975</xdr:colOff>
      <xdr:row>1</xdr:row>
      <xdr:rowOff>685800</xdr:rowOff>
    </xdr:from>
    <xdr:to>
      <xdr:col>11</xdr:col>
      <xdr:colOff>123825</xdr:colOff>
      <xdr:row>11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7477125" y="866775"/>
          <a:ext cx="5505450" cy="3162300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README:</a:t>
          </a:r>
          <a:endParaRPr lang="en-IN" sz="1100" b="1"/>
        </a:p>
        <a:p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</a:t>
          </a:r>
        </a:p>
        <a:p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</a:t>
          </a:r>
          <a:r>
            <a:rPr lang="en-IN" sz="1200"/>
            <a:t>with the flow. Let the button do the cleaning!</a:t>
          </a:r>
        </a:p>
        <a:p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clean, and ready to roll.</a:t>
          </a:r>
        </a:p>
        <a:p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custom-built—not your usual Excel defaults. Tweaking or deleting them </a:t>
          </a:r>
        </a:p>
        <a:p>
          <a:r>
            <a:rPr lang="en-IN" sz="1200"/>
            <a:t>    might break the automation.</a:t>
          </a:r>
        </a:p>
        <a:p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automation won’t know where to look.</a:t>
          </a:r>
        </a:p>
        <a:p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smoothly. Stay updated to keep things running smooth!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285"/>
  <sheetViews>
    <sheetView zoomScale="85" zoomScaleNormal="85" workbookViewId="0">
      <selection activeCell="S18" sqref="S18"/>
    </sheetView>
  </sheetViews>
  <sheetFormatPr defaultColWidth="39.125" defaultRowHeight="20.100000000000001" customHeight="1"/>
  <cols>
    <col min="1" max="1" width="5.5" style="2" bestFit="1" customWidth="1"/>
    <col min="2" max="2" width="6.625" style="1" bestFit="1" customWidth="1"/>
    <col min="3" max="3" width="7.125" style="1" bestFit="1" customWidth="1"/>
    <col min="4" max="4" width="31.125" style="1" bestFit="1" customWidth="1"/>
    <col min="5" max="7" width="5.625" style="17" customWidth="1"/>
    <col min="8" max="17" width="5.625" style="24" customWidth="1"/>
    <col min="18" max="18" width="7.625" style="17" customWidth="1"/>
    <col min="19" max="19" width="19.625" style="17" customWidth="1"/>
    <col min="20" max="23" width="5.625" style="17" customWidth="1"/>
    <col min="24" max="26" width="5.625" style="19" customWidth="1"/>
    <col min="27" max="27" width="15.25" style="36" customWidth="1"/>
    <col min="28" max="33" width="11.5" style="17" customWidth="1"/>
    <col min="34" max="165" width="11.5" style="1" customWidth="1"/>
    <col min="166" max="16384" width="39.125" style="1"/>
  </cols>
  <sheetData>
    <row r="1" spans="1:28" ht="11.25">
      <c r="H1" s="1"/>
      <c r="I1" s="1"/>
      <c r="J1" s="1"/>
      <c r="K1" s="1"/>
      <c r="L1" s="1"/>
      <c r="M1" s="1"/>
      <c r="N1" s="1"/>
      <c r="O1" s="1"/>
      <c r="P1" s="1"/>
      <c r="Q1" s="1"/>
    </row>
    <row r="2" spans="1:28" ht="11.25">
      <c r="H2" s="1"/>
      <c r="I2" s="1"/>
      <c r="J2" s="1"/>
      <c r="K2" s="1"/>
      <c r="L2" s="1"/>
      <c r="M2" s="1"/>
      <c r="N2" s="1"/>
      <c r="O2" s="1"/>
      <c r="P2" s="1"/>
      <c r="Q2" s="1"/>
    </row>
    <row r="3" spans="1:28" ht="20.100000000000001" customHeight="1">
      <c r="H3" s="1"/>
      <c r="I3" s="1"/>
      <c r="J3" s="1"/>
      <c r="K3" s="1"/>
      <c r="L3" s="1"/>
      <c r="M3" s="1"/>
      <c r="N3" s="1"/>
      <c r="O3" s="1"/>
      <c r="P3" s="1"/>
      <c r="Q3" s="1"/>
    </row>
    <row r="4" spans="1:28" ht="20.100000000000001" customHeight="1">
      <c r="H4" s="1"/>
      <c r="I4" s="1"/>
      <c r="J4" s="1"/>
      <c r="K4" s="1"/>
      <c r="L4" s="1"/>
      <c r="M4" s="1"/>
      <c r="N4" s="1"/>
      <c r="O4" s="1"/>
      <c r="P4" s="1"/>
      <c r="Q4" s="1"/>
      <c r="U4" s="96" t="s">
        <v>25</v>
      </c>
      <c r="V4" s="96"/>
      <c r="W4" s="96"/>
      <c r="X4" s="96" t="s">
        <v>30</v>
      </c>
      <c r="Y4" s="96"/>
      <c r="Z4" s="96"/>
    </row>
    <row r="5" spans="1:28" ht="20.100000000000001" customHeight="1">
      <c r="A5" s="113" t="s">
        <v>0</v>
      </c>
      <c r="B5" s="113" t="s">
        <v>1</v>
      </c>
      <c r="C5" s="113" t="s">
        <v>2</v>
      </c>
      <c r="D5" s="113" t="s">
        <v>3</v>
      </c>
      <c r="E5" s="124" t="s">
        <v>4</v>
      </c>
      <c r="F5" s="125"/>
      <c r="G5" s="126"/>
      <c r="H5" s="113" t="s">
        <v>5</v>
      </c>
      <c r="I5" s="113" t="s">
        <v>6</v>
      </c>
      <c r="J5" s="113" t="s">
        <v>7</v>
      </c>
      <c r="K5" s="113" t="s">
        <v>8</v>
      </c>
      <c r="L5" s="113" t="s">
        <v>9</v>
      </c>
      <c r="M5" s="113" t="s">
        <v>10</v>
      </c>
      <c r="N5" s="113" t="s">
        <v>11</v>
      </c>
      <c r="O5" s="113" t="s">
        <v>12</v>
      </c>
      <c r="P5" s="113" t="s">
        <v>13</v>
      </c>
      <c r="Q5" s="113" t="s">
        <v>14</v>
      </c>
      <c r="R5" s="102" t="s">
        <v>15</v>
      </c>
      <c r="S5" s="102" t="s">
        <v>16</v>
      </c>
      <c r="T5" s="102" t="s">
        <v>24</v>
      </c>
      <c r="U5" s="102" t="s">
        <v>17</v>
      </c>
      <c r="V5" s="102" t="s">
        <v>18</v>
      </c>
      <c r="W5" s="102" t="s">
        <v>19</v>
      </c>
      <c r="X5" s="97" t="s">
        <v>17</v>
      </c>
      <c r="Y5" s="97" t="s">
        <v>18</v>
      </c>
      <c r="Z5" s="97" t="s">
        <v>19</v>
      </c>
    </row>
    <row r="6" spans="1:28" ht="20.100000000000001" customHeight="1">
      <c r="A6" s="114"/>
      <c r="B6" s="114"/>
      <c r="C6" s="114"/>
      <c r="D6" s="114"/>
      <c r="E6" s="21" t="s">
        <v>17</v>
      </c>
      <c r="F6" s="22" t="s">
        <v>18</v>
      </c>
      <c r="G6" s="22" t="s">
        <v>19</v>
      </c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03"/>
      <c r="S6" s="103"/>
      <c r="T6" s="103"/>
      <c r="U6" s="103"/>
      <c r="V6" s="103"/>
      <c r="W6" s="103"/>
      <c r="X6" s="98"/>
      <c r="Y6" s="98"/>
      <c r="Z6" s="98"/>
      <c r="AA6" s="40" t="s">
        <v>44</v>
      </c>
    </row>
    <row r="7" spans="1:28" ht="20.100000000000001" customHeight="1">
      <c r="A7" s="115" t="s">
        <v>20</v>
      </c>
      <c r="B7" s="116"/>
      <c r="C7" s="116"/>
      <c r="D7" s="117"/>
      <c r="E7" s="121">
        <f>EvalPower(E8:G8)</f>
        <v>64</v>
      </c>
      <c r="F7" s="122"/>
      <c r="G7" s="123"/>
      <c r="H7" s="109">
        <f>EvalMath(H11:H99)</f>
        <v>22</v>
      </c>
      <c r="I7" s="109">
        <f>EvalMath(I11:I99)</f>
        <v>10</v>
      </c>
      <c r="J7" s="109">
        <f>EvalMath(J11:J99)</f>
        <v>11</v>
      </c>
      <c r="K7" s="109">
        <f>EvalMath(K11:K99)</f>
        <v>17</v>
      </c>
      <c r="L7" s="109" t="str">
        <f>EvalMath(L11:L99)</f>
        <v>-</v>
      </c>
      <c r="M7" s="109">
        <f>EvalMath(M11:M99)</f>
        <v>4</v>
      </c>
      <c r="N7" s="109" t="str">
        <f>EvalMath(N11:N99)</f>
        <v>-</v>
      </c>
      <c r="O7" s="109" t="str">
        <f>EvalMath(O11:O99)</f>
        <v>-</v>
      </c>
      <c r="P7" s="109" t="s">
        <v>43</v>
      </c>
      <c r="Q7" s="109" t="str">
        <f>EvalMath(Q11:Q99)</f>
        <v>-</v>
      </c>
      <c r="R7" s="94">
        <f>EvalPower(R11:R99)-R9</f>
        <v>0</v>
      </c>
      <c r="S7" s="105"/>
      <c r="T7" s="100"/>
      <c r="U7" s="104" t="str">
        <f>EvalPower(U11:U99)</f>
        <v>0</v>
      </c>
      <c r="V7" s="104" t="str">
        <f>EvalPower(V11:V99)</f>
        <v>0</v>
      </c>
      <c r="W7" s="104" t="str">
        <f>EvalPower(W11:W99)</f>
        <v>0</v>
      </c>
      <c r="X7" s="99" t="str">
        <f>EvalPower(X11:X100)</f>
        <v>0</v>
      </c>
      <c r="Y7" s="99" t="str">
        <f>EvalPower(Y11:Y100)</f>
        <v>0</v>
      </c>
      <c r="Z7" s="99" t="str">
        <f>EvalPower(Z11:Z100)</f>
        <v>0</v>
      </c>
      <c r="AA7"/>
    </row>
    <row r="8" spans="1:28" ht="20.100000000000001" customHeight="1">
      <c r="A8" s="118"/>
      <c r="B8" s="119"/>
      <c r="C8" s="119"/>
      <c r="D8" s="120"/>
      <c r="E8" s="16">
        <f>EvalPower(E11:E99)-E10</f>
        <v>64</v>
      </c>
      <c r="F8" s="16">
        <f>EvalPower(F11:F99)-F10</f>
        <v>0</v>
      </c>
      <c r="G8" s="16">
        <f>EvalPower(G11:G99)-G10</f>
        <v>0</v>
      </c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95"/>
      <c r="S8" s="106"/>
      <c r="T8" s="101"/>
      <c r="U8" s="101"/>
      <c r="V8" s="101"/>
      <c r="W8" s="101"/>
      <c r="X8" s="95"/>
      <c r="Y8" s="95"/>
      <c r="Z8" s="95"/>
    </row>
    <row r="9" spans="1:28" ht="20.100000000000001" customHeight="1">
      <c r="A9" s="115" t="s">
        <v>21</v>
      </c>
      <c r="B9" s="116"/>
      <c r="C9" s="116"/>
      <c r="D9" s="117"/>
      <c r="E9" s="130" t="str">
        <f>EvalPower(E10:G10)</f>
        <v>0</v>
      </c>
      <c r="F9" s="131"/>
      <c r="G9" s="132"/>
      <c r="H9" s="111"/>
      <c r="I9" s="111"/>
      <c r="J9" s="111"/>
      <c r="K9" s="111"/>
      <c r="L9" s="111"/>
      <c r="M9" s="111"/>
      <c r="N9" s="111"/>
      <c r="O9" s="111"/>
      <c r="P9" s="111" t="str">
        <f>EvalMath(P11:P99)</f>
        <v>-</v>
      </c>
      <c r="Q9" s="111"/>
      <c r="R9" s="100" t="str">
        <f>EvalPower(X7:Z8)</f>
        <v>0</v>
      </c>
      <c r="S9" s="107"/>
      <c r="T9" s="105"/>
      <c r="U9" s="100"/>
      <c r="V9" s="100"/>
      <c r="W9" s="100"/>
      <c r="X9" s="94"/>
      <c r="Y9" s="94"/>
      <c r="Z9" s="94"/>
    </row>
    <row r="10" spans="1:28" ht="19.5" customHeight="1">
      <c r="A10" s="127"/>
      <c r="B10" s="128"/>
      <c r="C10" s="128"/>
      <c r="D10" s="129"/>
      <c r="E10" s="23" t="str">
        <f>U7</f>
        <v>0</v>
      </c>
      <c r="F10" s="23" t="str">
        <f>V7</f>
        <v>0</v>
      </c>
      <c r="G10" s="23" t="str">
        <f>W7</f>
        <v>0</v>
      </c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01"/>
      <c r="S10" s="108"/>
      <c r="T10" s="106"/>
      <c r="U10" s="101"/>
      <c r="V10" s="101"/>
      <c r="W10" s="101"/>
      <c r="X10" s="95"/>
      <c r="Y10" s="95"/>
      <c r="Z10" s="95"/>
      <c r="AB10" s="20"/>
    </row>
    <row r="11" spans="1:28" ht="20.100000000000001" customHeight="1">
      <c r="A11" s="12">
        <v>1</v>
      </c>
      <c r="B11" s="70"/>
      <c r="C11" s="71"/>
      <c r="D11" s="71"/>
      <c r="E11" s="72"/>
      <c r="F11" s="73"/>
      <c r="G11" s="73"/>
      <c r="H11" s="74"/>
      <c r="I11" s="74"/>
      <c r="J11" s="74"/>
      <c r="K11" s="74"/>
      <c r="L11" s="74"/>
      <c r="M11" s="74"/>
      <c r="N11" s="74"/>
      <c r="O11" s="74"/>
      <c r="P11" s="74"/>
      <c r="Q11" s="13"/>
      <c r="R11" s="18">
        <f>(EvalPower(E11:G11)*T11)</f>
        <v>0</v>
      </c>
      <c r="S11" s="12"/>
      <c r="T11" s="15"/>
      <c r="U11" s="15"/>
      <c r="V11" s="15"/>
      <c r="W11" s="15"/>
      <c r="X11" s="18">
        <f>U11*T11</f>
        <v>0</v>
      </c>
      <c r="Y11" s="18">
        <f>V11*T11</f>
        <v>0</v>
      </c>
      <c r="Z11" s="18">
        <f>W11*T11</f>
        <v>0</v>
      </c>
      <c r="AA11" s="36" t="str">
        <f t="shared" ref="AA11:AA16" si="0"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</row>
    <row r="12" spans="1:28" ht="20.100000000000001" customHeight="1">
      <c r="A12" s="12">
        <v>2</v>
      </c>
      <c r="B12" s="70"/>
      <c r="C12" s="71"/>
      <c r="D12" s="71"/>
      <c r="E12" s="73"/>
      <c r="F12" s="73"/>
      <c r="G12" s="73"/>
      <c r="H12" s="74"/>
      <c r="I12" s="74"/>
      <c r="J12" s="74"/>
      <c r="K12" s="74"/>
      <c r="L12" s="74"/>
      <c r="M12" s="74"/>
      <c r="N12" s="74"/>
      <c r="O12" s="74"/>
      <c r="P12" s="74"/>
      <c r="Q12" s="13"/>
      <c r="R12" s="18">
        <f t="shared" ref="R12:R31" si="1">(EvalPower(E12:G12)*T12)</f>
        <v>0</v>
      </c>
      <c r="S12" s="12"/>
      <c r="T12" s="15"/>
      <c r="U12" s="15"/>
      <c r="V12" s="15"/>
      <c r="W12" s="15"/>
      <c r="X12" s="18">
        <f t="shared" ref="X12:X31" si="2">U12*T12</f>
        <v>0</v>
      </c>
      <c r="Y12" s="18">
        <f t="shared" ref="Y12:Y31" si="3">V12*T12</f>
        <v>0</v>
      </c>
      <c r="Z12" s="18">
        <f t="shared" ref="Z12:Z31" si="4">W12*T12</f>
        <v>0</v>
      </c>
      <c r="AA12" s="36" t="str">
        <f t="shared" si="0"/>
        <v/>
      </c>
    </row>
    <row r="13" spans="1:28" ht="20.100000000000001" customHeight="1">
      <c r="A13" s="12">
        <v>3</v>
      </c>
      <c r="B13" s="70"/>
      <c r="C13" s="71"/>
      <c r="D13" s="74"/>
      <c r="E13" s="73"/>
      <c r="F13" s="73"/>
      <c r="G13" s="73"/>
      <c r="H13" s="74"/>
      <c r="I13" s="74"/>
      <c r="J13" s="74"/>
      <c r="K13" s="74"/>
      <c r="L13" s="74"/>
      <c r="M13" s="74"/>
      <c r="N13" s="74"/>
      <c r="O13" s="74"/>
      <c r="P13" s="74"/>
      <c r="Q13" s="13"/>
      <c r="R13" s="18">
        <f t="shared" si="1"/>
        <v>0</v>
      </c>
      <c r="S13" s="12"/>
      <c r="T13" s="15"/>
      <c r="U13" s="15"/>
      <c r="V13" s="15"/>
      <c r="W13" s="15"/>
      <c r="X13" s="18">
        <f t="shared" si="2"/>
        <v>0</v>
      </c>
      <c r="Y13" s="18">
        <f t="shared" si="3"/>
        <v>0</v>
      </c>
      <c r="Z13" s="18">
        <f t="shared" si="4"/>
        <v>0</v>
      </c>
      <c r="AA13" s="36" t="str">
        <f t="shared" si="0"/>
        <v/>
      </c>
    </row>
    <row r="14" spans="1:28" ht="27.75" customHeight="1">
      <c r="A14" s="12">
        <v>4</v>
      </c>
      <c r="B14" s="70"/>
      <c r="C14" s="74"/>
      <c r="D14" s="74"/>
      <c r="E14" s="73"/>
      <c r="F14" s="73"/>
      <c r="G14" s="73"/>
      <c r="H14" s="74"/>
      <c r="I14" s="74"/>
      <c r="J14" s="74"/>
      <c r="K14" s="74"/>
      <c r="L14" s="74"/>
      <c r="M14" s="74"/>
      <c r="N14" s="74"/>
      <c r="O14" s="74"/>
      <c r="P14" s="74"/>
      <c r="Q14" s="13"/>
      <c r="R14" s="18">
        <f t="shared" si="1"/>
        <v>0</v>
      </c>
      <c r="S14" s="12"/>
      <c r="T14" s="15"/>
      <c r="U14" s="15"/>
      <c r="V14" s="15"/>
      <c r="W14" s="15"/>
      <c r="X14" s="18">
        <f t="shared" si="2"/>
        <v>0</v>
      </c>
      <c r="Y14" s="18">
        <f t="shared" si="3"/>
        <v>0</v>
      </c>
      <c r="Z14" s="18">
        <f t="shared" si="4"/>
        <v>0</v>
      </c>
      <c r="AA14" s="36" t="str">
        <f t="shared" si="0"/>
        <v/>
      </c>
    </row>
    <row r="15" spans="1:28" ht="20.100000000000001" customHeight="1">
      <c r="A15" s="12">
        <v>5</v>
      </c>
      <c r="B15" s="75" t="s">
        <v>64</v>
      </c>
      <c r="C15" s="74" t="s">
        <v>65</v>
      </c>
      <c r="D15" s="74" t="s">
        <v>63</v>
      </c>
      <c r="E15" s="27" t="s">
        <v>47</v>
      </c>
      <c r="F15" s="27"/>
      <c r="G15" s="27"/>
      <c r="H15" s="13"/>
      <c r="I15" s="13"/>
      <c r="J15" s="12" t="s">
        <v>47</v>
      </c>
      <c r="K15" s="13"/>
      <c r="L15" s="13"/>
      <c r="M15" s="13"/>
      <c r="N15" s="13"/>
      <c r="O15" s="13"/>
      <c r="P15" s="12"/>
      <c r="Q15" s="13"/>
      <c r="R15" s="18">
        <f t="shared" si="1"/>
        <v>0</v>
      </c>
      <c r="S15" s="12"/>
      <c r="T15" s="15"/>
      <c r="U15" s="15"/>
      <c r="V15" s="15"/>
      <c r="W15" s="15"/>
      <c r="X15" s="18">
        <f t="shared" si="2"/>
        <v>0</v>
      </c>
      <c r="Y15" s="18">
        <f t="shared" si="3"/>
        <v>0</v>
      </c>
      <c r="Z15" s="18">
        <f t="shared" si="4"/>
        <v>0</v>
      </c>
      <c r="AA15" s="36" t="str">
        <f t="shared" si="0"/>
        <v/>
      </c>
    </row>
    <row r="16" spans="1:28" ht="26.25" customHeight="1">
      <c r="A16" s="12">
        <v>6</v>
      </c>
      <c r="B16" s="75"/>
      <c r="C16" s="74"/>
      <c r="D16" s="74"/>
      <c r="E16" s="27"/>
      <c r="F16" s="27"/>
      <c r="G16" s="27"/>
      <c r="H16" s="13"/>
      <c r="I16" s="13"/>
      <c r="J16" s="12"/>
      <c r="K16" s="13"/>
      <c r="L16" s="13"/>
      <c r="M16" s="13"/>
      <c r="N16" s="13"/>
      <c r="O16" s="13"/>
      <c r="P16" s="12"/>
      <c r="Q16" s="13"/>
      <c r="R16" s="18">
        <f t="shared" si="1"/>
        <v>0</v>
      </c>
      <c r="S16" s="12"/>
      <c r="T16" s="15"/>
      <c r="U16" s="15"/>
      <c r="V16" s="15"/>
      <c r="W16" s="15"/>
      <c r="X16" s="18">
        <f t="shared" si="2"/>
        <v>0</v>
      </c>
      <c r="Y16" s="18">
        <f t="shared" si="3"/>
        <v>0</v>
      </c>
      <c r="Z16" s="18">
        <f t="shared" si="4"/>
        <v>0</v>
      </c>
      <c r="AA16" s="36" t="str">
        <f t="shared" si="0"/>
        <v/>
      </c>
    </row>
    <row r="17" spans="1:27" ht="26.25" customHeight="1">
      <c r="A17" s="12">
        <v>7</v>
      </c>
      <c r="B17" s="75" t="s">
        <v>74</v>
      </c>
      <c r="C17" s="74" t="s">
        <v>60</v>
      </c>
      <c r="D17" s="93" t="s">
        <v>75</v>
      </c>
      <c r="E17" s="27" t="s">
        <v>76</v>
      </c>
      <c r="F17" s="27"/>
      <c r="G17" s="27"/>
      <c r="H17" s="13" t="s">
        <v>77</v>
      </c>
      <c r="I17" s="13"/>
      <c r="J17" s="12"/>
      <c r="K17" s="13"/>
      <c r="L17" s="13"/>
      <c r="M17" s="13"/>
      <c r="N17" s="13"/>
      <c r="O17" s="13"/>
      <c r="P17" s="12"/>
      <c r="Q17" s="13"/>
      <c r="R17" s="18">
        <f t="shared" si="1"/>
        <v>0</v>
      </c>
      <c r="S17" s="12"/>
      <c r="T17" s="15"/>
      <c r="U17" s="15"/>
      <c r="V17" s="15"/>
      <c r="W17" s="15"/>
      <c r="X17" s="18">
        <f t="shared" si="2"/>
        <v>0</v>
      </c>
      <c r="Y17" s="18">
        <f t="shared" si="3"/>
        <v>0</v>
      </c>
      <c r="Z17" s="18">
        <f t="shared" si="4"/>
        <v>0</v>
      </c>
      <c r="AA17" s="36" t="str">
        <f>IF(AND(EvalPower(E17:G17)=EvalPower(H17:Q17), EvalPower(P17)=EvalPower(U17:W17)), "", IF(AND(EvalPower(E17:G17)&lt;&gt;EvalPower(H17:Q17), EvalPower(P17)&lt;&gt;EvalPower(U17:W17)), "NG Total and Power total both mistake", IF(EvalPower(E17:G17)&lt;&gt;EvalPower(H17:Q17), "TOTAL ERROR", "POWER CUT ERROR!")))</f>
        <v/>
      </c>
    </row>
    <row r="18" spans="1:27" ht="26.25" customHeight="1">
      <c r="A18" s="12">
        <v>8</v>
      </c>
      <c r="B18" s="75" t="s">
        <v>74</v>
      </c>
      <c r="C18" s="74" t="s">
        <v>60</v>
      </c>
      <c r="D18" s="93" t="s">
        <v>78</v>
      </c>
      <c r="E18" s="27" t="s">
        <v>76</v>
      </c>
      <c r="F18" s="27"/>
      <c r="G18" s="27"/>
      <c r="H18" s="13"/>
      <c r="I18" s="13" t="s">
        <v>77</v>
      </c>
      <c r="J18" s="12"/>
      <c r="K18" s="13"/>
      <c r="L18" s="13"/>
      <c r="M18" s="13"/>
      <c r="N18" s="13"/>
      <c r="O18" s="13"/>
      <c r="P18" s="12"/>
      <c r="Q18" s="13"/>
      <c r="R18" s="18">
        <f t="shared" si="1"/>
        <v>0</v>
      </c>
      <c r="S18" s="12"/>
      <c r="T18" s="15"/>
      <c r="U18" s="15"/>
      <c r="V18" s="15"/>
      <c r="W18" s="15"/>
      <c r="X18" s="18">
        <f t="shared" si="2"/>
        <v>0</v>
      </c>
      <c r="Y18" s="18">
        <f t="shared" si="3"/>
        <v>0</v>
      </c>
      <c r="Z18" s="18">
        <f t="shared" si="4"/>
        <v>0</v>
      </c>
      <c r="AA18" s="36" t="str">
        <f>IF(AND(EvalPower(E18:G18)=EvalPower(H18:Q18), EvalPower(P18)=EvalPower(U18:W18)), "", IF(AND(EvalPower(E18:G18)&lt;&gt;EvalPower(H18:Q18), EvalPower(P18)&lt;&gt;EvalPower(U18:W18)), "NG Total and Power total both mistake", IF(EvalPower(E18:G18)&lt;&gt;EvalPower(H18:Q18), "TOTAL ERROR", "POWER CUT ERROR!")))</f>
        <v/>
      </c>
    </row>
    <row r="19" spans="1:27" ht="24.75" customHeight="1">
      <c r="A19" s="12">
        <v>9</v>
      </c>
      <c r="B19" s="75" t="s">
        <v>49</v>
      </c>
      <c r="C19" s="74" t="s">
        <v>54</v>
      </c>
      <c r="D19" s="90" t="s">
        <v>53</v>
      </c>
      <c r="E19" s="27" t="s">
        <v>46</v>
      </c>
      <c r="F19" s="27"/>
      <c r="G19" s="27"/>
      <c r="H19" s="13" t="s">
        <v>45</v>
      </c>
      <c r="I19" s="13"/>
      <c r="J19" s="12"/>
      <c r="K19" s="13" t="s">
        <v>45</v>
      </c>
      <c r="L19" s="13"/>
      <c r="M19" s="13"/>
      <c r="N19" s="13"/>
      <c r="O19" s="13"/>
      <c r="P19" s="12"/>
      <c r="Q19" s="13"/>
      <c r="R19" s="18">
        <f t="shared" si="1"/>
        <v>0</v>
      </c>
      <c r="S19" s="12" t="s">
        <v>55</v>
      </c>
      <c r="T19" s="15"/>
      <c r="U19" s="15"/>
      <c r="V19" s="15"/>
      <c r="W19" s="15"/>
      <c r="X19" s="18">
        <f t="shared" si="2"/>
        <v>0</v>
      </c>
      <c r="Y19" s="18">
        <f t="shared" si="3"/>
        <v>0</v>
      </c>
      <c r="Z19" s="18">
        <f t="shared" si="4"/>
        <v>0</v>
      </c>
      <c r="AA19" s="36" t="str">
        <f t="shared" ref="AA19:AA52" si="5">IF(AND(EvalPower(E19:G19)=EvalPower(H19:Q19), EvalPower(P19)=EvalPower(U19:W19)), "", IF(AND(EvalPower(E19:G19)&lt;&gt;EvalPower(H19:Q19), EvalPower(P19)&lt;&gt;EvalPower(U19:W19)), "NG Total and Power total both mistake", IF(EvalPower(E19:G19)&lt;&gt;EvalPower(H19:Q19), "TOTAL ERROR", "POWER CUT ERROR!")))</f>
        <v/>
      </c>
    </row>
    <row r="20" spans="1:27" ht="26.25" customHeight="1">
      <c r="A20" s="12">
        <v>10</v>
      </c>
      <c r="B20" s="60" t="s">
        <v>72</v>
      </c>
      <c r="C20" s="91" t="s">
        <v>73</v>
      </c>
      <c r="D20" s="91" t="s">
        <v>71</v>
      </c>
      <c r="E20" s="27" t="s">
        <v>45</v>
      </c>
      <c r="F20" s="27"/>
      <c r="G20" s="27"/>
      <c r="H20" s="13"/>
      <c r="I20" s="13" t="s">
        <v>45</v>
      </c>
      <c r="J20" s="12"/>
      <c r="K20" s="13"/>
      <c r="L20" s="13"/>
      <c r="M20" s="13"/>
      <c r="N20" s="13"/>
      <c r="O20" s="13"/>
      <c r="P20" s="12"/>
      <c r="Q20" s="13"/>
      <c r="R20" s="18">
        <f t="shared" si="1"/>
        <v>0</v>
      </c>
      <c r="S20" s="12"/>
      <c r="T20" s="15"/>
      <c r="U20" s="15"/>
      <c r="V20" s="15"/>
      <c r="W20" s="15"/>
      <c r="X20" s="18">
        <f t="shared" si="2"/>
        <v>0</v>
      </c>
      <c r="Y20" s="18">
        <f t="shared" si="3"/>
        <v>0</v>
      </c>
      <c r="Z20" s="18">
        <f t="shared" si="4"/>
        <v>0</v>
      </c>
      <c r="AA20" s="36" t="str">
        <f t="shared" si="5"/>
        <v/>
      </c>
    </row>
    <row r="21" spans="1:27" ht="28.5" customHeight="1">
      <c r="A21" s="12">
        <v>11</v>
      </c>
      <c r="B21" s="60"/>
      <c r="C21" s="88"/>
      <c r="D21" s="88"/>
      <c r="E21" s="27"/>
      <c r="F21" s="27"/>
      <c r="G21" s="27"/>
      <c r="H21" s="13"/>
      <c r="I21" s="13"/>
      <c r="J21" s="12"/>
      <c r="K21" s="13"/>
      <c r="L21" s="13"/>
      <c r="M21" s="13"/>
      <c r="N21" s="13"/>
      <c r="O21" s="13"/>
      <c r="P21" s="12"/>
      <c r="Q21" s="13"/>
      <c r="R21" s="18">
        <f t="shared" si="1"/>
        <v>0</v>
      </c>
      <c r="S21" s="12"/>
      <c r="T21" s="15"/>
      <c r="U21" s="15"/>
      <c r="V21" s="15"/>
      <c r="W21" s="15"/>
      <c r="X21" s="18">
        <f t="shared" si="2"/>
        <v>0</v>
      </c>
      <c r="Y21" s="18">
        <f t="shared" si="3"/>
        <v>0</v>
      </c>
      <c r="Z21" s="18">
        <f t="shared" si="4"/>
        <v>0</v>
      </c>
      <c r="AA21" s="36" t="str">
        <f t="shared" ref="AA21:AA26" si="6">IF(AND(EvalPower(E21:G21)=EvalPower(H21:Q21), EvalPower(P21)=EvalPower(U21:W21)), "", IF(AND(EvalPower(E21:G21)&lt;&gt;EvalPower(H21:Q21), EvalPower(P21)&lt;&gt;EvalPower(U21:W21)), "NG Total and Power total both mistake", IF(EvalPower(E21:G21)&lt;&gt;EvalPower(H21:Q21), "TOTAL ERROR", "POWER CUT ERROR!")))</f>
        <v/>
      </c>
    </row>
    <row r="22" spans="1:27" ht="20.100000000000001" customHeight="1">
      <c r="A22" s="12">
        <v>12</v>
      </c>
      <c r="B22" s="60" t="s">
        <v>92</v>
      </c>
      <c r="C22" s="91" t="s">
        <v>56</v>
      </c>
      <c r="D22" s="91" t="s">
        <v>89</v>
      </c>
      <c r="E22" s="27" t="s">
        <v>90</v>
      </c>
      <c r="F22" s="27"/>
      <c r="G22" s="27"/>
      <c r="H22" s="13" t="s">
        <v>91</v>
      </c>
      <c r="I22" s="13"/>
      <c r="J22" s="12"/>
      <c r="K22" s="13" t="s">
        <v>62</v>
      </c>
      <c r="L22" s="13"/>
      <c r="M22" s="13"/>
      <c r="N22" s="13"/>
      <c r="O22" s="13"/>
      <c r="P22" s="12"/>
      <c r="Q22" s="13"/>
      <c r="R22" s="18">
        <f t="shared" si="1"/>
        <v>0</v>
      </c>
      <c r="S22" s="12"/>
      <c r="T22" s="15"/>
      <c r="U22" s="15"/>
      <c r="V22" s="15"/>
      <c r="W22" s="15"/>
      <c r="X22" s="18">
        <f t="shared" si="2"/>
        <v>0</v>
      </c>
      <c r="Y22" s="18">
        <f t="shared" si="3"/>
        <v>0</v>
      </c>
      <c r="Z22" s="18">
        <f t="shared" si="4"/>
        <v>0</v>
      </c>
      <c r="AA22" s="36" t="str">
        <f t="shared" si="6"/>
        <v/>
      </c>
    </row>
    <row r="23" spans="1:27" ht="20.100000000000001" customHeight="1">
      <c r="A23" s="12">
        <v>13</v>
      </c>
      <c r="B23" s="60"/>
      <c r="C23" s="88"/>
      <c r="D23" s="88"/>
      <c r="E23" s="27"/>
      <c r="F23" s="27"/>
      <c r="G23" s="27"/>
      <c r="H23" s="13"/>
      <c r="I23" s="13"/>
      <c r="J23" s="12"/>
      <c r="K23" s="13"/>
      <c r="L23" s="13"/>
      <c r="M23" s="13"/>
      <c r="N23" s="13"/>
      <c r="O23" s="13"/>
      <c r="P23" s="12"/>
      <c r="Q23" s="13"/>
      <c r="R23" s="18">
        <f t="shared" si="1"/>
        <v>0</v>
      </c>
      <c r="S23" s="12"/>
      <c r="T23" s="15"/>
      <c r="U23" s="15"/>
      <c r="V23" s="15"/>
      <c r="W23" s="15"/>
      <c r="X23" s="18">
        <f t="shared" si="2"/>
        <v>0</v>
      </c>
      <c r="Y23" s="18">
        <f t="shared" si="3"/>
        <v>0</v>
      </c>
      <c r="Z23" s="18">
        <f t="shared" si="4"/>
        <v>0</v>
      </c>
      <c r="AA23" s="36" t="str">
        <f t="shared" si="6"/>
        <v/>
      </c>
    </row>
    <row r="24" spans="1:27" ht="20.100000000000001" customHeight="1">
      <c r="A24" s="12">
        <v>14</v>
      </c>
      <c r="B24" s="60" t="s">
        <v>61</v>
      </c>
      <c r="C24" s="91" t="s">
        <v>60</v>
      </c>
      <c r="D24" s="91" t="s">
        <v>59</v>
      </c>
      <c r="E24" s="27" t="s">
        <v>45</v>
      </c>
      <c r="F24" s="27"/>
      <c r="G24" s="27"/>
      <c r="H24" s="13"/>
      <c r="I24" s="13"/>
      <c r="J24" s="12"/>
      <c r="K24" s="13"/>
      <c r="L24" s="13"/>
      <c r="M24" s="13" t="s">
        <v>62</v>
      </c>
      <c r="N24" s="13"/>
      <c r="O24" s="13"/>
      <c r="P24" s="12"/>
      <c r="Q24" s="13"/>
      <c r="R24" s="18">
        <f t="shared" si="1"/>
        <v>0</v>
      </c>
      <c r="S24" s="12"/>
      <c r="T24" s="15"/>
      <c r="U24" s="15"/>
      <c r="V24" s="15"/>
      <c r="W24" s="15"/>
      <c r="X24" s="18">
        <f t="shared" si="2"/>
        <v>0</v>
      </c>
      <c r="Y24" s="18">
        <f t="shared" si="3"/>
        <v>0</v>
      </c>
      <c r="Z24" s="18">
        <f t="shared" si="4"/>
        <v>0</v>
      </c>
      <c r="AA24" s="36" t="str">
        <f t="shared" si="6"/>
        <v/>
      </c>
    </row>
    <row r="25" spans="1:27" ht="20.100000000000001" customHeight="1">
      <c r="A25" s="12">
        <v>15</v>
      </c>
      <c r="B25" s="60"/>
      <c r="C25" s="88"/>
      <c r="D25" s="88"/>
      <c r="E25" s="27"/>
      <c r="F25" s="27"/>
      <c r="G25" s="27"/>
      <c r="H25" s="13"/>
      <c r="I25" s="13"/>
      <c r="J25" s="12"/>
      <c r="K25" s="13"/>
      <c r="L25" s="13"/>
      <c r="M25" s="13"/>
      <c r="N25" s="13"/>
      <c r="O25" s="13"/>
      <c r="P25" s="12"/>
      <c r="Q25" s="13"/>
      <c r="R25" s="18">
        <f t="shared" si="1"/>
        <v>0</v>
      </c>
      <c r="S25" s="12"/>
      <c r="T25" s="15"/>
      <c r="U25" s="15"/>
      <c r="V25" s="15"/>
      <c r="W25" s="15"/>
      <c r="X25" s="18">
        <f t="shared" si="2"/>
        <v>0</v>
      </c>
      <c r="Y25" s="18">
        <f t="shared" si="3"/>
        <v>0</v>
      </c>
      <c r="Z25" s="18">
        <f t="shared" si="4"/>
        <v>0</v>
      </c>
      <c r="AA25" s="36" t="str">
        <f t="shared" si="6"/>
        <v/>
      </c>
    </row>
    <row r="26" spans="1:27" ht="38.25" customHeight="1">
      <c r="A26" s="12">
        <v>16</v>
      </c>
      <c r="B26" s="60" t="s">
        <v>48</v>
      </c>
      <c r="C26" s="90" t="s">
        <v>56</v>
      </c>
      <c r="D26" s="90" t="s">
        <v>69</v>
      </c>
      <c r="E26" s="27" t="s">
        <v>57</v>
      </c>
      <c r="F26" s="27"/>
      <c r="G26" s="27"/>
      <c r="H26" s="13"/>
      <c r="I26" s="13"/>
      <c r="J26" s="12"/>
      <c r="K26" s="13" t="s">
        <v>57</v>
      </c>
      <c r="L26" s="13"/>
      <c r="M26" s="13"/>
      <c r="N26" s="13"/>
      <c r="O26" s="13"/>
      <c r="P26" s="12"/>
      <c r="Q26" s="13"/>
      <c r="R26" s="18">
        <f t="shared" si="1"/>
        <v>0</v>
      </c>
      <c r="S26" s="12" t="s">
        <v>58</v>
      </c>
      <c r="T26" s="15"/>
      <c r="U26" s="15"/>
      <c r="V26" s="15"/>
      <c r="W26" s="15"/>
      <c r="X26" s="18">
        <f t="shared" si="2"/>
        <v>0</v>
      </c>
      <c r="Y26" s="18">
        <f t="shared" si="3"/>
        <v>0</v>
      </c>
      <c r="Z26" s="18">
        <f t="shared" si="4"/>
        <v>0</v>
      </c>
      <c r="AA26" s="36" t="str">
        <f t="shared" si="6"/>
        <v/>
      </c>
    </row>
    <row r="27" spans="1:27" ht="20.100000000000001" customHeight="1">
      <c r="A27" s="12">
        <v>17</v>
      </c>
      <c r="B27" s="60"/>
      <c r="C27" s="88"/>
      <c r="D27" s="88"/>
      <c r="E27" s="27"/>
      <c r="F27" s="27"/>
      <c r="G27" s="27"/>
      <c r="H27" s="13"/>
      <c r="I27" s="13"/>
      <c r="J27" s="12"/>
      <c r="K27" s="13"/>
      <c r="L27" s="13"/>
      <c r="M27" s="13"/>
      <c r="N27" s="13"/>
      <c r="O27" s="13"/>
      <c r="P27" s="12"/>
      <c r="Q27" s="13"/>
      <c r="R27" s="18">
        <f t="shared" si="1"/>
        <v>0</v>
      </c>
      <c r="S27" s="12"/>
      <c r="T27" s="15"/>
      <c r="U27" s="15"/>
      <c r="V27" s="15"/>
      <c r="W27" s="15"/>
      <c r="X27" s="18">
        <f t="shared" si="2"/>
        <v>0</v>
      </c>
      <c r="Y27" s="18">
        <f t="shared" si="3"/>
        <v>0</v>
      </c>
      <c r="Z27" s="18">
        <f t="shared" si="4"/>
        <v>0</v>
      </c>
      <c r="AA27" s="36" t="str">
        <f t="shared" ref="AA27:AA32" si="7">IF(AND(EvalPower(E27:G27)=EvalPower(H27:Q27), EvalPower(P27)=EvalPower(U27:W27)), "", IF(AND(EvalPower(E27:G27)&lt;&gt;EvalPower(H27:Q27), EvalPower(P27)&lt;&gt;EvalPower(U27:W27)), "NG Total and Power total both mistake", IF(EvalPower(E27:G27)&lt;&gt;EvalPower(H27:Q27), "TOTAL ERROR", "POWER CUT ERROR!")))</f>
        <v/>
      </c>
    </row>
    <row r="28" spans="1:27" ht="20.100000000000001" customHeight="1">
      <c r="A28" s="12">
        <v>18</v>
      </c>
      <c r="B28" s="60"/>
      <c r="C28" s="86"/>
      <c r="D28" s="88"/>
      <c r="E28" s="27"/>
      <c r="F28" s="27"/>
      <c r="G28" s="27"/>
      <c r="H28" s="13"/>
      <c r="I28" s="13"/>
      <c r="J28" s="12"/>
      <c r="K28" s="13"/>
      <c r="L28" s="13"/>
      <c r="M28" s="13"/>
      <c r="N28" s="13"/>
      <c r="O28" s="13"/>
      <c r="P28" s="12"/>
      <c r="Q28" s="13"/>
      <c r="R28" s="18">
        <f t="shared" si="1"/>
        <v>0</v>
      </c>
      <c r="S28" s="12"/>
      <c r="T28" s="15"/>
      <c r="U28" s="15"/>
      <c r="V28" s="15"/>
      <c r="W28" s="15"/>
      <c r="X28" s="18">
        <f t="shared" si="2"/>
        <v>0</v>
      </c>
      <c r="Y28" s="18">
        <f t="shared" si="3"/>
        <v>0</v>
      </c>
      <c r="Z28" s="18">
        <f t="shared" si="4"/>
        <v>0</v>
      </c>
      <c r="AA28" s="36" t="str">
        <f t="shared" si="7"/>
        <v/>
      </c>
    </row>
    <row r="29" spans="1:27" ht="20.100000000000001" customHeight="1">
      <c r="A29" s="12">
        <v>19</v>
      </c>
      <c r="B29" s="60" t="s">
        <v>79</v>
      </c>
      <c r="C29" s="91" t="s">
        <v>82</v>
      </c>
      <c r="D29" s="91" t="s">
        <v>81</v>
      </c>
      <c r="E29" s="27" t="s">
        <v>45</v>
      </c>
      <c r="F29" s="27"/>
      <c r="G29" s="27"/>
      <c r="H29" s="13" t="s">
        <v>45</v>
      </c>
      <c r="I29" s="13"/>
      <c r="J29" s="12"/>
      <c r="K29" s="13"/>
      <c r="L29" s="13"/>
      <c r="M29" s="13"/>
      <c r="N29" s="13"/>
      <c r="O29" s="13"/>
      <c r="P29" s="12"/>
      <c r="Q29" s="13"/>
      <c r="R29" s="18">
        <f t="shared" si="1"/>
        <v>0</v>
      </c>
      <c r="S29" s="12"/>
      <c r="T29" s="15"/>
      <c r="U29" s="15"/>
      <c r="V29" s="15"/>
      <c r="W29" s="15"/>
      <c r="X29" s="18">
        <f t="shared" si="2"/>
        <v>0</v>
      </c>
      <c r="Y29" s="18">
        <f t="shared" si="3"/>
        <v>0</v>
      </c>
      <c r="Z29" s="18">
        <f t="shared" si="4"/>
        <v>0</v>
      </c>
      <c r="AA29" s="36" t="str">
        <f>IF(AND(EvalPower(E29:G29)=EvalPower(H29:Q29), EvalPower(P29)=EvalPower(U29:W29)), "", IF(AND(EvalPower(E29:G29)&lt;&gt;EvalPower(H29:Q29), EvalPower(P29)&lt;&gt;EvalPower(U29:W29)), "NG Total and Power total both mistake", IF(EvalPower(E29:G29)&lt;&gt;EvalPower(H29:Q29), "TOTAL ERROR", "POWER CUT ERROR!")))</f>
        <v/>
      </c>
    </row>
    <row r="30" spans="1:27" ht="20.100000000000001" customHeight="1">
      <c r="A30" s="12">
        <v>20</v>
      </c>
      <c r="B30" s="60" t="s">
        <v>79</v>
      </c>
      <c r="C30" s="91" t="s">
        <v>82</v>
      </c>
      <c r="D30" s="91" t="s">
        <v>80</v>
      </c>
      <c r="E30" s="27" t="s">
        <v>45</v>
      </c>
      <c r="F30" s="27"/>
      <c r="G30" s="27"/>
      <c r="H30" s="13"/>
      <c r="I30" s="13"/>
      <c r="J30" s="12" t="s">
        <v>45</v>
      </c>
      <c r="K30" s="13"/>
      <c r="L30" s="13"/>
      <c r="M30" s="13"/>
      <c r="N30" s="13"/>
      <c r="O30" s="13"/>
      <c r="P30" s="12"/>
      <c r="Q30" s="13"/>
      <c r="R30" s="18">
        <f t="shared" si="1"/>
        <v>0</v>
      </c>
      <c r="S30" s="12"/>
      <c r="T30" s="15"/>
      <c r="U30" s="15"/>
      <c r="V30" s="15"/>
      <c r="W30" s="15"/>
      <c r="X30" s="18">
        <f t="shared" si="2"/>
        <v>0</v>
      </c>
      <c r="Y30" s="18">
        <f t="shared" si="3"/>
        <v>0</v>
      </c>
      <c r="Z30" s="18">
        <f t="shared" si="4"/>
        <v>0</v>
      </c>
      <c r="AA30" s="36" t="str">
        <f>IF(AND(EvalPower(E30:G30)=EvalPower(H30:Q30), EvalPower(P30)=EvalPower(U30:W30)), "", IF(AND(EvalPower(E30:G30)&lt;&gt;EvalPower(H30:Q30), EvalPower(P30)&lt;&gt;EvalPower(U30:W30)), "NG Total and Power total both mistake", IF(EvalPower(E30:G30)&lt;&gt;EvalPower(H30:Q30), "TOTAL ERROR", "POWER CUT ERROR!")))</f>
        <v/>
      </c>
    </row>
    <row r="31" spans="1:27" ht="23.25" customHeight="1">
      <c r="A31" s="12">
        <v>21</v>
      </c>
      <c r="B31" s="60" t="s">
        <v>66</v>
      </c>
      <c r="C31" s="91" t="s">
        <v>68</v>
      </c>
      <c r="D31" s="91" t="s">
        <v>67</v>
      </c>
      <c r="E31" s="27" t="s">
        <v>46</v>
      </c>
      <c r="F31" s="27"/>
      <c r="G31" s="27"/>
      <c r="H31" s="13"/>
      <c r="I31" s="13"/>
      <c r="J31" s="12" t="s">
        <v>45</v>
      </c>
      <c r="K31" s="13" t="s">
        <v>45</v>
      </c>
      <c r="L31" s="13"/>
      <c r="M31" s="13"/>
      <c r="N31" s="13"/>
      <c r="O31" s="13"/>
      <c r="P31" s="12"/>
      <c r="Q31" s="13"/>
      <c r="R31" s="18">
        <f t="shared" si="1"/>
        <v>0</v>
      </c>
      <c r="S31" s="12" t="s">
        <v>70</v>
      </c>
      <c r="T31" s="15"/>
      <c r="U31" s="15"/>
      <c r="V31" s="15"/>
      <c r="W31" s="15"/>
      <c r="X31" s="18">
        <f t="shared" si="2"/>
        <v>0</v>
      </c>
      <c r="Y31" s="18">
        <f t="shared" si="3"/>
        <v>0</v>
      </c>
      <c r="Z31" s="18">
        <f t="shared" si="4"/>
        <v>0</v>
      </c>
      <c r="AA31" s="36" t="str">
        <f t="shared" si="7"/>
        <v/>
      </c>
    </row>
    <row r="32" spans="1:27" ht="24.75" customHeight="1">
      <c r="A32" s="12"/>
      <c r="B32" s="60"/>
      <c r="C32" s="84"/>
      <c r="D32" s="88"/>
      <c r="E32" s="27"/>
      <c r="F32" s="27"/>
      <c r="G32" s="27"/>
      <c r="H32" s="13"/>
      <c r="I32" s="13"/>
      <c r="J32" s="12"/>
      <c r="K32" s="13"/>
      <c r="L32" s="13"/>
      <c r="M32" s="13"/>
      <c r="N32" s="13"/>
      <c r="O32" s="13"/>
      <c r="P32" s="12"/>
      <c r="Q32" s="13"/>
      <c r="R32" s="18"/>
      <c r="S32" s="12"/>
      <c r="T32" s="15"/>
      <c r="U32" s="15"/>
      <c r="V32" s="15"/>
      <c r="W32" s="15"/>
      <c r="X32" s="18"/>
      <c r="Y32" s="18"/>
      <c r="Z32" s="18"/>
      <c r="AA32" s="36" t="str">
        <f t="shared" si="7"/>
        <v/>
      </c>
    </row>
    <row r="33" spans="1:27" ht="23.25" customHeight="1">
      <c r="A33" s="12"/>
      <c r="B33" s="60"/>
      <c r="C33" s="78"/>
      <c r="D33" s="88"/>
      <c r="E33" s="27"/>
      <c r="F33" s="27"/>
      <c r="G33" s="27"/>
      <c r="H33" s="13"/>
      <c r="I33" s="13"/>
      <c r="J33" s="12"/>
      <c r="K33" s="13"/>
      <c r="L33" s="13"/>
      <c r="M33" s="13"/>
      <c r="N33" s="13"/>
      <c r="O33" s="13"/>
      <c r="P33" s="12"/>
      <c r="Q33" s="13"/>
      <c r="R33" s="18"/>
      <c r="S33" s="12"/>
      <c r="T33" s="15"/>
      <c r="U33" s="15"/>
      <c r="V33" s="15"/>
      <c r="W33" s="15"/>
      <c r="X33" s="18"/>
      <c r="Y33" s="18"/>
      <c r="Z33" s="18"/>
      <c r="AA33" s="36" t="str">
        <f>IF(AND(EvalPower(E33:G33)=EvalPower(H33:Q33), EvalPower(P33)=EvalPower(U33:W33)), "", IF(AND(EvalPower(E33:G33)&lt;&gt;EvalPower(H33:Q33), EvalPower(P33)&lt;&gt;EvalPower(U33:W33)), "NG Total and Power total both mistake", IF(EvalPower(E33:G33)&lt;&gt;EvalPower(H33:Q33), "TOTAL ERROR", "POWER CUT ERROR!")))</f>
        <v/>
      </c>
    </row>
    <row r="34" spans="1:27" ht="20.100000000000001" customHeight="1">
      <c r="A34" s="12"/>
      <c r="B34" s="60"/>
      <c r="C34" s="88"/>
      <c r="D34" s="88"/>
      <c r="E34" s="27"/>
      <c r="F34" s="27"/>
      <c r="G34" s="27"/>
      <c r="H34" s="13"/>
      <c r="I34" s="13"/>
      <c r="J34" s="12"/>
      <c r="K34" s="13"/>
      <c r="L34" s="13"/>
      <c r="M34" s="13"/>
      <c r="N34" s="13"/>
      <c r="O34" s="13"/>
      <c r="P34" s="12"/>
      <c r="Q34" s="13"/>
      <c r="R34" s="18"/>
      <c r="S34" s="12"/>
      <c r="T34" s="15"/>
      <c r="U34" s="15"/>
      <c r="V34" s="15"/>
      <c r="W34" s="15"/>
      <c r="X34" s="18"/>
      <c r="Y34" s="18"/>
      <c r="Z34" s="18"/>
      <c r="AA34" s="36" t="str">
        <f t="shared" si="5"/>
        <v/>
      </c>
    </row>
    <row r="35" spans="1:27" ht="20.100000000000001" customHeight="1">
      <c r="A35" s="12"/>
      <c r="B35" s="60"/>
      <c r="C35" s="39"/>
      <c r="D35" s="88"/>
      <c r="E35" s="27"/>
      <c r="F35" s="27"/>
      <c r="G35" s="27"/>
      <c r="H35" s="13"/>
      <c r="I35" s="13"/>
      <c r="J35" s="12"/>
      <c r="K35" s="13"/>
      <c r="L35" s="13"/>
      <c r="M35" s="13"/>
      <c r="N35" s="13"/>
      <c r="O35" s="13"/>
      <c r="P35" s="12"/>
      <c r="Q35" s="13"/>
      <c r="R35" s="18"/>
      <c r="S35" s="12"/>
      <c r="T35" s="15"/>
      <c r="U35" s="15"/>
      <c r="V35" s="15"/>
      <c r="W35" s="15"/>
      <c r="X35" s="18"/>
      <c r="Y35" s="18"/>
      <c r="Z35" s="18"/>
      <c r="AA35" s="36" t="str">
        <f t="shared" si="5"/>
        <v/>
      </c>
    </row>
    <row r="36" spans="1:27" ht="24.75" customHeight="1">
      <c r="A36" s="12"/>
      <c r="B36" s="60"/>
      <c r="C36" s="88"/>
      <c r="D36" s="88"/>
      <c r="E36" s="27"/>
      <c r="F36" s="27"/>
      <c r="G36" s="27"/>
      <c r="H36" s="13"/>
      <c r="I36" s="13"/>
      <c r="J36" s="12"/>
      <c r="K36" s="13"/>
      <c r="L36" s="13"/>
      <c r="M36" s="13"/>
      <c r="N36" s="13"/>
      <c r="O36" s="13"/>
      <c r="P36" s="12"/>
      <c r="Q36" s="13"/>
      <c r="R36" s="18"/>
      <c r="S36" s="12"/>
      <c r="T36" s="15"/>
      <c r="U36" s="15"/>
      <c r="V36" s="15"/>
      <c r="W36" s="15"/>
      <c r="X36" s="18"/>
      <c r="Y36" s="18"/>
      <c r="Z36" s="18"/>
      <c r="AA36" s="36" t="str">
        <f t="shared" si="5"/>
        <v/>
      </c>
    </row>
    <row r="37" spans="1:27" ht="23.25" customHeight="1">
      <c r="A37" s="12"/>
      <c r="B37" s="60"/>
      <c r="C37" s="88"/>
      <c r="D37" s="88"/>
      <c r="E37" s="27"/>
      <c r="F37" s="27"/>
      <c r="G37" s="27"/>
      <c r="H37" s="13"/>
      <c r="I37" s="13"/>
      <c r="J37" s="12"/>
      <c r="K37" s="13"/>
      <c r="L37" s="13"/>
      <c r="M37" s="13"/>
      <c r="N37" s="13"/>
      <c r="O37" s="13"/>
      <c r="P37" s="12"/>
      <c r="Q37" s="13"/>
      <c r="R37" s="18"/>
      <c r="S37" s="12"/>
      <c r="T37" s="15"/>
      <c r="U37" s="15"/>
      <c r="V37" s="15"/>
      <c r="W37" s="15"/>
      <c r="X37" s="18"/>
      <c r="Y37" s="18"/>
      <c r="Z37" s="18"/>
      <c r="AA37" s="36" t="str">
        <f>IF(AND(EvalPower(E37:G37)=EvalPower(H37:Q37), EvalPower(P37)=EvalPower(U37:W37)), "", IF(AND(EvalPower(E37:G37)&lt;&gt;EvalPower(H37:Q37), EvalPower(P37)&lt;&gt;EvalPower(U37:W37)), "NG Total and Power total both mistake", IF(EvalPower(E37:G37)&lt;&gt;EvalPower(H37:Q37), "TOTAL ERROR", "POWER CUT ERROR!")))</f>
        <v/>
      </c>
    </row>
    <row r="38" spans="1:27" ht="23.25" customHeight="1">
      <c r="A38" s="12"/>
      <c r="B38" s="60"/>
      <c r="C38" s="87"/>
      <c r="D38" s="88"/>
      <c r="E38" s="27"/>
      <c r="F38" s="27"/>
      <c r="G38" s="27"/>
      <c r="H38" s="13"/>
      <c r="I38" s="13"/>
      <c r="J38" s="12"/>
      <c r="K38" s="13"/>
      <c r="L38" s="13"/>
      <c r="M38" s="13"/>
      <c r="N38" s="13"/>
      <c r="O38" s="13"/>
      <c r="P38" s="12"/>
      <c r="Q38" s="13"/>
      <c r="R38" s="18"/>
      <c r="S38" s="12"/>
      <c r="T38" s="15"/>
      <c r="U38" s="15"/>
      <c r="V38" s="15"/>
      <c r="W38" s="15"/>
      <c r="X38" s="18"/>
      <c r="Y38" s="18"/>
      <c r="Z38" s="18"/>
      <c r="AA38" s="36" t="str">
        <f>IF(AND(EvalPower(E38:G38)=EvalPower(H38:Q38), EvalPower(P38)=EvalPower(U38:W38)), "", IF(AND(EvalPower(E38:G38)&lt;&gt;EvalPower(H38:Q38), EvalPower(P38)&lt;&gt;EvalPower(U38:W38)), "NG Total and Power total both mistake", IF(EvalPower(E38:G38)&lt;&gt;EvalPower(H38:Q38), "TOTAL ERROR", "POWER CUT ERROR!")))</f>
        <v/>
      </c>
    </row>
    <row r="39" spans="1:27" ht="20.100000000000001" customHeight="1">
      <c r="A39" s="12"/>
      <c r="B39" s="60"/>
      <c r="C39" s="88"/>
      <c r="D39" s="88"/>
      <c r="E39" s="27"/>
      <c r="F39" s="27"/>
      <c r="G39" s="27"/>
      <c r="H39" s="13"/>
      <c r="I39" s="13"/>
      <c r="J39" s="12"/>
      <c r="K39" s="13"/>
      <c r="L39" s="13"/>
      <c r="M39" s="13"/>
      <c r="N39" s="13"/>
      <c r="O39" s="13"/>
      <c r="P39" s="12"/>
      <c r="Q39" s="13"/>
      <c r="R39" s="18"/>
      <c r="S39" s="12"/>
      <c r="T39" s="15"/>
      <c r="U39" s="15"/>
      <c r="V39" s="15"/>
      <c r="W39" s="15"/>
      <c r="X39" s="18"/>
      <c r="Y39" s="18"/>
      <c r="Z39" s="18"/>
      <c r="AA39" s="36" t="str">
        <f>IF(AND(EvalPower(E39:G39)=EvalPower(H39:Q39), EvalPower(P39)=EvalPower(U39:W39)), "", IF(AND(EvalPower(E39:G39)&lt;&gt;EvalPower(H39:Q39), EvalPower(P39)&lt;&gt;EvalPower(U39:W39)), "NG Total and Power total both mistake", IF(EvalPower(E39:G39)&lt;&gt;EvalPower(H39:Q39), "TOTAL ERROR", "POWER CUT ERROR!")))</f>
        <v/>
      </c>
    </row>
    <row r="40" spans="1:27" ht="24" customHeight="1">
      <c r="A40" s="12"/>
      <c r="B40" s="60"/>
      <c r="C40" s="86"/>
      <c r="D40" s="88"/>
      <c r="E40" s="27"/>
      <c r="F40" s="27"/>
      <c r="G40" s="27"/>
      <c r="H40" s="13"/>
      <c r="I40" s="13"/>
      <c r="J40" s="12"/>
      <c r="K40" s="13"/>
      <c r="L40" s="13"/>
      <c r="M40" s="13"/>
      <c r="N40" s="13"/>
      <c r="O40" s="13"/>
      <c r="P40" s="12"/>
      <c r="Q40" s="13"/>
      <c r="R40" s="18"/>
      <c r="S40" s="12"/>
      <c r="T40" s="15"/>
      <c r="U40" s="15"/>
      <c r="V40" s="15"/>
      <c r="W40" s="15"/>
      <c r="X40" s="18"/>
      <c r="Y40" s="18"/>
      <c r="Z40" s="18"/>
      <c r="AA40" s="36" t="str">
        <f>IF(AND(EvalPower(E40:G40)=EvalPower(H40:Q40), EvalPower(P40)=EvalPower(U40:W40)), "", IF(AND(EvalPower(E40:G40)&lt;&gt;EvalPower(H40:Q40), EvalPower(P40)&lt;&gt;EvalPower(U40:W40)), "NG Total and Power total both mistake", IF(EvalPower(E40:G40)&lt;&gt;EvalPower(H40:Q40), "TOTAL ERROR", "POWER CUT ERROR!")))</f>
        <v/>
      </c>
    </row>
    <row r="41" spans="1:27" ht="34.5" customHeight="1">
      <c r="A41" s="12"/>
      <c r="B41" s="60"/>
      <c r="C41" s="82"/>
      <c r="D41" s="88"/>
      <c r="E41" s="27"/>
      <c r="F41" s="27"/>
      <c r="G41" s="27"/>
      <c r="H41" s="13"/>
      <c r="I41" s="13"/>
      <c r="J41" s="12"/>
      <c r="K41" s="13"/>
      <c r="L41" s="13"/>
      <c r="M41" s="13"/>
      <c r="N41" s="13"/>
      <c r="O41" s="13"/>
      <c r="P41" s="12"/>
      <c r="Q41" s="13"/>
      <c r="R41" s="18"/>
      <c r="S41" s="12"/>
      <c r="T41" s="15"/>
      <c r="U41" s="15"/>
      <c r="V41" s="15"/>
      <c r="W41" s="15"/>
      <c r="X41" s="18"/>
      <c r="Y41" s="18"/>
      <c r="Z41" s="18"/>
      <c r="AA41" s="36" t="str">
        <f t="shared" si="5"/>
        <v/>
      </c>
    </row>
    <row r="42" spans="1:27" ht="34.5" customHeight="1">
      <c r="A42" s="12"/>
      <c r="B42" s="60"/>
      <c r="C42" s="88"/>
      <c r="D42" s="88"/>
      <c r="E42" s="27"/>
      <c r="F42" s="27"/>
      <c r="G42" s="27"/>
      <c r="H42" s="13"/>
      <c r="I42" s="13"/>
      <c r="J42" s="12"/>
      <c r="K42" s="13"/>
      <c r="L42" s="13"/>
      <c r="M42" s="13"/>
      <c r="N42" s="13"/>
      <c r="O42" s="13"/>
      <c r="P42" s="12"/>
      <c r="Q42" s="13"/>
      <c r="R42" s="18"/>
      <c r="S42" s="12"/>
      <c r="T42" s="15"/>
      <c r="U42" s="15"/>
      <c r="V42" s="15"/>
      <c r="W42" s="15"/>
      <c r="X42" s="18"/>
      <c r="Y42" s="18"/>
      <c r="Z42" s="18"/>
      <c r="AA42" s="36" t="str">
        <f>IF(AND(EvalPower(E42:G42)=EvalPower(H42:Q42), EvalPower(P42)=EvalPower(U42:W42)), "", IF(AND(EvalPower(E42:G42)&lt;&gt;EvalPower(H42:Q42), EvalPower(P42)&lt;&gt;EvalPower(U42:W42)), "NG Total and Power total both mistake", IF(EvalPower(E42:G42)&lt;&gt;EvalPower(H42:Q42), "TOTAL ERROR", "POWER CUT ERROR!")))</f>
        <v/>
      </c>
    </row>
    <row r="43" spans="1:27" ht="34.5" customHeight="1">
      <c r="A43" s="12"/>
      <c r="B43" s="60"/>
      <c r="C43" s="88"/>
      <c r="D43" s="88"/>
      <c r="E43" s="27"/>
      <c r="F43" s="27"/>
      <c r="G43" s="27"/>
      <c r="H43" s="13"/>
      <c r="I43" s="13"/>
      <c r="J43" s="12"/>
      <c r="K43" s="13"/>
      <c r="L43" s="13"/>
      <c r="M43" s="13"/>
      <c r="N43" s="13"/>
      <c r="O43" s="13"/>
      <c r="P43" s="12"/>
      <c r="Q43" s="13"/>
      <c r="R43" s="18"/>
      <c r="S43" s="12"/>
      <c r="T43" s="15"/>
      <c r="U43" s="15"/>
      <c r="V43" s="15"/>
      <c r="W43" s="15"/>
      <c r="X43" s="18"/>
      <c r="Y43" s="18"/>
      <c r="Z43" s="18"/>
      <c r="AA43" s="36" t="str">
        <f>IF(AND(EvalPower(E43:G43)=EvalPower(H43:Q43), EvalPower(P43)=EvalPower(U43:W43)), "", IF(AND(EvalPower(E43:G43)&lt;&gt;EvalPower(H43:Q43), EvalPower(P43)&lt;&gt;EvalPower(U43:W43)), "NG Total and Power total both mistake", IF(EvalPower(E43:G43)&lt;&gt;EvalPower(H43:Q43), "TOTAL ERROR", "POWER CUT ERROR!")))</f>
        <v/>
      </c>
    </row>
    <row r="44" spans="1:27" ht="24.75" customHeight="1">
      <c r="A44" s="12"/>
      <c r="B44" s="60"/>
      <c r="C44" s="81"/>
      <c r="D44" s="88"/>
      <c r="E44" s="27"/>
      <c r="F44" s="27"/>
      <c r="G44" s="27"/>
      <c r="H44" s="13"/>
      <c r="I44" s="13"/>
      <c r="J44" s="12"/>
      <c r="K44" s="13"/>
      <c r="L44" s="13"/>
      <c r="M44" s="13"/>
      <c r="N44" s="13"/>
      <c r="O44" s="13"/>
      <c r="P44" s="12"/>
      <c r="Q44" s="13"/>
      <c r="R44" s="18"/>
      <c r="S44" s="12"/>
      <c r="T44" s="15"/>
      <c r="U44" s="15"/>
      <c r="V44" s="15"/>
      <c r="W44" s="15"/>
      <c r="X44" s="18"/>
      <c r="Y44" s="18"/>
      <c r="Z44" s="18"/>
      <c r="AA44" s="36" t="str">
        <f t="shared" si="5"/>
        <v/>
      </c>
    </row>
    <row r="45" spans="1:27" ht="20.100000000000001" customHeight="1">
      <c r="A45" s="12"/>
      <c r="B45" s="60"/>
      <c r="C45" s="88"/>
      <c r="D45" s="88"/>
      <c r="E45" s="27"/>
      <c r="F45" s="27"/>
      <c r="G45" s="27"/>
      <c r="H45" s="13"/>
      <c r="I45" s="13"/>
      <c r="J45" s="12"/>
      <c r="K45" s="13"/>
      <c r="L45" s="13"/>
      <c r="M45" s="13"/>
      <c r="N45" s="13"/>
      <c r="O45" s="13"/>
      <c r="P45" s="12"/>
      <c r="Q45" s="13"/>
      <c r="R45" s="18"/>
      <c r="S45" s="12"/>
      <c r="T45" s="15"/>
      <c r="U45" s="15"/>
      <c r="V45" s="15"/>
      <c r="W45" s="15"/>
      <c r="X45" s="18"/>
      <c r="Y45" s="18"/>
      <c r="Z45" s="18"/>
      <c r="AA45" s="36" t="str">
        <f t="shared" si="5"/>
        <v/>
      </c>
    </row>
    <row r="46" spans="1:27" ht="20.100000000000001" customHeight="1">
      <c r="A46" s="12"/>
      <c r="B46" s="60"/>
      <c r="C46" s="39"/>
      <c r="D46" s="88"/>
      <c r="E46" s="27"/>
      <c r="F46" s="27"/>
      <c r="G46" s="27"/>
      <c r="H46" s="13"/>
      <c r="I46" s="13"/>
      <c r="J46" s="12"/>
      <c r="K46" s="13"/>
      <c r="L46" s="13"/>
      <c r="M46" s="13"/>
      <c r="N46" s="13"/>
      <c r="O46" s="13"/>
      <c r="P46" s="12"/>
      <c r="Q46" s="13"/>
      <c r="R46" s="18"/>
      <c r="S46" s="12"/>
      <c r="T46" s="15"/>
      <c r="U46" s="15"/>
      <c r="V46" s="15"/>
      <c r="W46" s="15"/>
      <c r="X46" s="18"/>
      <c r="Y46" s="18"/>
      <c r="Z46" s="18"/>
      <c r="AA46" s="36" t="str">
        <f t="shared" si="5"/>
        <v/>
      </c>
    </row>
    <row r="47" spans="1:27" ht="20.100000000000001" customHeight="1">
      <c r="A47" s="12"/>
      <c r="B47" s="60"/>
      <c r="C47" s="39"/>
      <c r="D47" s="88"/>
      <c r="E47" s="27"/>
      <c r="F47" s="27"/>
      <c r="G47" s="27"/>
      <c r="H47" s="13"/>
      <c r="I47" s="13"/>
      <c r="J47" s="12"/>
      <c r="K47" s="13"/>
      <c r="L47" s="13"/>
      <c r="M47" s="13"/>
      <c r="N47" s="13"/>
      <c r="O47" s="13"/>
      <c r="P47" s="12"/>
      <c r="Q47" s="13"/>
      <c r="R47" s="18"/>
      <c r="S47" s="12"/>
      <c r="T47" s="15"/>
      <c r="U47" s="15"/>
      <c r="V47" s="15"/>
      <c r="W47" s="15"/>
      <c r="X47" s="18"/>
      <c r="Y47" s="18"/>
      <c r="Z47" s="18"/>
      <c r="AA47" s="36" t="str">
        <f t="shared" si="5"/>
        <v/>
      </c>
    </row>
    <row r="48" spans="1:27" ht="20.100000000000001" customHeight="1">
      <c r="A48" s="12"/>
      <c r="B48" s="60"/>
      <c r="C48" s="88"/>
      <c r="D48" s="88"/>
      <c r="E48" s="27"/>
      <c r="F48" s="27"/>
      <c r="G48" s="27"/>
      <c r="H48" s="13"/>
      <c r="I48" s="13"/>
      <c r="J48" s="12"/>
      <c r="K48" s="13"/>
      <c r="L48" s="13"/>
      <c r="M48" s="13"/>
      <c r="N48" s="13"/>
      <c r="O48" s="13"/>
      <c r="P48" s="12"/>
      <c r="Q48" s="13"/>
      <c r="R48" s="18"/>
      <c r="S48" s="12"/>
      <c r="T48" s="15"/>
      <c r="U48" s="15"/>
      <c r="V48" s="15"/>
      <c r="W48" s="15"/>
      <c r="X48" s="18"/>
      <c r="Y48" s="18"/>
      <c r="Z48" s="18"/>
      <c r="AA48" s="36" t="str">
        <f t="shared" si="5"/>
        <v/>
      </c>
    </row>
    <row r="49" spans="1:27" ht="20.100000000000001" customHeight="1">
      <c r="A49" s="12"/>
      <c r="B49" s="60"/>
      <c r="C49" s="39"/>
      <c r="D49" s="39"/>
      <c r="E49" s="27"/>
      <c r="F49" s="27"/>
      <c r="G49" s="27"/>
      <c r="H49" s="13"/>
      <c r="I49" s="13"/>
      <c r="J49" s="12"/>
      <c r="K49" s="13"/>
      <c r="L49" s="13"/>
      <c r="M49" s="13"/>
      <c r="N49" s="13"/>
      <c r="O49" s="13"/>
      <c r="P49" s="12"/>
      <c r="Q49" s="13"/>
      <c r="R49" s="65"/>
      <c r="S49" s="12"/>
      <c r="T49" s="15"/>
      <c r="U49" s="15"/>
      <c r="V49" s="15"/>
      <c r="W49" s="15"/>
      <c r="X49" s="18"/>
      <c r="Y49" s="18"/>
      <c r="Z49" s="18"/>
      <c r="AA49" s="36" t="str">
        <f t="shared" si="5"/>
        <v/>
      </c>
    </row>
    <row r="50" spans="1:27" ht="20.100000000000001" customHeight="1">
      <c r="A50" s="12"/>
      <c r="B50" s="60"/>
      <c r="C50" s="39"/>
      <c r="D50" s="39"/>
      <c r="E50" s="26"/>
      <c r="F50" s="26"/>
      <c r="G50" s="26"/>
      <c r="H50" s="13"/>
      <c r="I50" s="13"/>
      <c r="J50" s="12"/>
      <c r="K50" s="13"/>
      <c r="L50" s="13"/>
      <c r="M50" s="13"/>
      <c r="N50" s="13"/>
      <c r="O50" s="13"/>
      <c r="P50" s="12"/>
      <c r="Q50" s="13"/>
      <c r="R50" s="65"/>
      <c r="S50" s="12"/>
      <c r="T50" s="15"/>
      <c r="U50" s="15"/>
      <c r="V50" s="15"/>
      <c r="W50" s="15"/>
      <c r="X50" s="18"/>
      <c r="Y50" s="18"/>
      <c r="Z50" s="18"/>
      <c r="AA50" s="36" t="str">
        <f t="shared" si="5"/>
        <v/>
      </c>
    </row>
    <row r="51" spans="1:27" ht="20.100000000000001" customHeight="1">
      <c r="A51" s="12"/>
      <c r="B51" s="60"/>
      <c r="C51" s="39"/>
      <c r="D51" s="39"/>
      <c r="E51" s="26"/>
      <c r="F51" s="26"/>
      <c r="G51" s="26"/>
      <c r="H51" s="13"/>
      <c r="I51" s="13"/>
      <c r="J51" s="12"/>
      <c r="K51" s="13"/>
      <c r="L51" s="13"/>
      <c r="M51" s="13"/>
      <c r="N51" s="13"/>
      <c r="O51" s="13"/>
      <c r="P51" s="12"/>
      <c r="Q51" s="13"/>
      <c r="R51" s="65"/>
      <c r="S51" s="12"/>
      <c r="T51" s="15"/>
      <c r="U51" s="15"/>
      <c r="V51" s="15"/>
      <c r="W51" s="15"/>
      <c r="X51" s="18"/>
      <c r="Y51" s="18"/>
      <c r="Z51" s="18"/>
      <c r="AA51" s="36" t="str">
        <f t="shared" si="5"/>
        <v/>
      </c>
    </row>
    <row r="52" spans="1:27" ht="20.100000000000001" customHeight="1">
      <c r="A52" s="12"/>
      <c r="B52" s="60"/>
      <c r="C52" s="39"/>
      <c r="D52" s="39"/>
      <c r="E52" s="26"/>
      <c r="F52" s="26"/>
      <c r="G52" s="26"/>
      <c r="H52" s="13"/>
      <c r="I52" s="13"/>
      <c r="J52" s="12"/>
      <c r="K52" s="13"/>
      <c r="L52" s="13"/>
      <c r="M52" s="13"/>
      <c r="N52" s="13"/>
      <c r="O52" s="13"/>
      <c r="P52" s="12"/>
      <c r="Q52" s="13"/>
      <c r="R52" s="65"/>
      <c r="S52" s="12"/>
      <c r="T52" s="15"/>
      <c r="U52" s="15"/>
      <c r="V52" s="15"/>
      <c r="W52" s="15"/>
      <c r="X52" s="18"/>
      <c r="Y52" s="18"/>
      <c r="Z52" s="18"/>
      <c r="AA52" s="36" t="str">
        <f t="shared" si="5"/>
        <v/>
      </c>
    </row>
    <row r="53" spans="1:27" ht="20.100000000000001" customHeight="1">
      <c r="A53" s="12"/>
      <c r="B53" s="60"/>
      <c r="C53" s="39"/>
      <c r="D53" s="39"/>
      <c r="E53" s="26"/>
      <c r="F53" s="26"/>
      <c r="G53" s="26"/>
      <c r="H53" s="13"/>
      <c r="I53" s="13"/>
      <c r="J53" s="12"/>
      <c r="K53" s="13"/>
      <c r="L53" s="13"/>
      <c r="M53" s="13"/>
      <c r="N53" s="13"/>
      <c r="O53" s="13"/>
      <c r="P53" s="12"/>
      <c r="Q53" s="13"/>
      <c r="R53" s="65"/>
      <c r="S53" s="12"/>
      <c r="T53" s="15"/>
      <c r="U53" s="15"/>
      <c r="V53" s="15"/>
      <c r="W53" s="15"/>
      <c r="X53" s="18"/>
      <c r="Y53" s="18"/>
      <c r="Z53" s="18"/>
      <c r="AA53" s="36" t="str">
        <f t="shared" ref="AA53:AA59" si="8">IF(AND(EvalPower(E53:G53)=EvalPower(H53:Q53), EvalPower(P53)=EvalPower(U53:W53)), "", IF(AND(EvalPower(E53:G53)&lt;&gt;EvalPower(H53:Q53), EvalPower(P53)&lt;&gt;EvalPower(U53:W53)), "NG Total and Power total both mistake", IF(EvalPower(E53:G53)&lt;&gt;EvalPower(H53:Q53), "TOTAL ERROR", "POWER CUT ERROR!")))</f>
        <v/>
      </c>
    </row>
    <row r="54" spans="1:27" ht="20.100000000000001" customHeight="1">
      <c r="A54" s="12"/>
      <c r="B54" s="60"/>
      <c r="C54" s="39"/>
      <c r="D54" s="39"/>
      <c r="E54" s="27"/>
      <c r="F54" s="27"/>
      <c r="G54" s="26"/>
      <c r="H54" s="13"/>
      <c r="I54" s="13"/>
      <c r="J54" s="12"/>
      <c r="K54" s="13"/>
      <c r="L54" s="13"/>
      <c r="M54" s="13"/>
      <c r="N54" s="13"/>
      <c r="O54" s="13"/>
      <c r="P54" s="12"/>
      <c r="Q54" s="13"/>
      <c r="R54" s="65"/>
      <c r="S54" s="12"/>
      <c r="T54" s="15"/>
      <c r="U54" s="15"/>
      <c r="V54" s="15"/>
      <c r="W54" s="15"/>
      <c r="X54" s="18"/>
      <c r="Y54" s="18"/>
      <c r="Z54" s="18"/>
      <c r="AA54" s="36" t="str">
        <f t="shared" si="8"/>
        <v/>
      </c>
    </row>
    <row r="55" spans="1:27" ht="25.5" customHeight="1">
      <c r="A55" s="12"/>
      <c r="B55" s="60"/>
      <c r="C55" s="39"/>
      <c r="D55" s="39"/>
      <c r="E55" s="27"/>
      <c r="F55" s="27"/>
      <c r="G55" s="27"/>
      <c r="H55" s="13"/>
      <c r="I55" s="13"/>
      <c r="J55" s="12"/>
      <c r="K55" s="13"/>
      <c r="L55" s="13"/>
      <c r="M55" s="13"/>
      <c r="N55" s="13"/>
      <c r="O55" s="13"/>
      <c r="P55" s="12"/>
      <c r="Q55" s="13"/>
      <c r="R55" s="65"/>
      <c r="S55" s="12"/>
      <c r="T55" s="15"/>
      <c r="U55" s="15"/>
      <c r="V55" s="15"/>
      <c r="W55" s="15"/>
      <c r="X55" s="18"/>
      <c r="Y55" s="18"/>
      <c r="Z55" s="18"/>
      <c r="AA55" s="36" t="str">
        <f t="shared" si="8"/>
        <v/>
      </c>
    </row>
    <row r="56" spans="1:27" ht="25.5" customHeight="1">
      <c r="A56" s="12"/>
      <c r="B56" s="60"/>
      <c r="C56" s="39"/>
      <c r="D56" s="39"/>
      <c r="E56" s="27"/>
      <c r="F56" s="27"/>
      <c r="G56" s="27"/>
      <c r="H56" s="13"/>
      <c r="I56" s="13"/>
      <c r="J56" s="12"/>
      <c r="K56" s="13"/>
      <c r="L56" s="13"/>
      <c r="M56" s="13"/>
      <c r="N56" s="13"/>
      <c r="O56" s="13"/>
      <c r="P56" s="12"/>
      <c r="Q56" s="13"/>
      <c r="R56" s="65"/>
      <c r="S56" s="12"/>
      <c r="T56" s="15"/>
      <c r="U56" s="15"/>
      <c r="V56" s="15"/>
      <c r="W56" s="15"/>
      <c r="X56" s="18"/>
      <c r="Y56" s="18"/>
      <c r="Z56" s="18"/>
      <c r="AA56" s="36" t="str">
        <f>IF(AND(EvalPower(E56:G56)=EvalPower(H56:Q56), EvalPower(P56)=EvalPower(U56:W56)), "", IF(AND(EvalPower(E56:G56)&lt;&gt;EvalPower(H56:Q56), EvalPower(P56)&lt;&gt;EvalPower(U56:W56)), "NG Total and Power total both mistake", IF(EvalPower(E56:G56)&lt;&gt;EvalPower(H56:Q56), "TOTAL ERROR", "POWER CUT ERROR!")))</f>
        <v/>
      </c>
    </row>
    <row r="57" spans="1:27" ht="20.100000000000001" customHeight="1">
      <c r="A57" s="12"/>
      <c r="B57" s="60"/>
      <c r="C57" s="39"/>
      <c r="D57" s="39"/>
      <c r="E57" s="27"/>
      <c r="F57" s="27"/>
      <c r="G57" s="27"/>
      <c r="H57" s="13"/>
      <c r="I57" s="13"/>
      <c r="J57" s="12"/>
      <c r="K57" s="13"/>
      <c r="L57" s="13"/>
      <c r="M57" s="13"/>
      <c r="N57" s="13"/>
      <c r="O57" s="13"/>
      <c r="P57" s="12"/>
      <c r="Q57" s="13"/>
      <c r="R57" s="65"/>
      <c r="S57" s="12"/>
      <c r="T57" s="15"/>
      <c r="U57" s="15"/>
      <c r="V57" s="15"/>
      <c r="W57" s="15"/>
      <c r="X57" s="18"/>
      <c r="Y57" s="18"/>
      <c r="Z57" s="18"/>
      <c r="AA57" s="36" t="str">
        <f t="shared" si="8"/>
        <v/>
      </c>
    </row>
    <row r="58" spans="1:27" ht="20.100000000000001" customHeight="1">
      <c r="A58" s="12"/>
      <c r="B58" s="60"/>
      <c r="C58" s="39"/>
      <c r="D58" s="39"/>
      <c r="E58" s="27"/>
      <c r="F58" s="27"/>
      <c r="G58" s="27"/>
      <c r="H58" s="13"/>
      <c r="I58" s="13"/>
      <c r="J58" s="12"/>
      <c r="K58" s="13"/>
      <c r="L58" s="13"/>
      <c r="M58" s="13"/>
      <c r="N58" s="13"/>
      <c r="O58" s="13"/>
      <c r="P58" s="12"/>
      <c r="Q58" s="13"/>
      <c r="R58" s="65"/>
      <c r="S58" s="12"/>
      <c r="T58" s="15"/>
      <c r="U58" s="15"/>
      <c r="V58" s="15"/>
      <c r="W58" s="15"/>
      <c r="X58" s="18"/>
      <c r="Y58" s="18"/>
      <c r="Z58" s="18"/>
      <c r="AA58" s="36" t="str">
        <f>IF(AND(EvalPower(E58:G58)=EvalPower(H58:Q58), EvalPower(P58)=EvalPower(U58:W58)), "", IF(AND(EvalPower(E58:G58)&lt;&gt;EvalPower(H58:Q58), EvalPower(P58)&lt;&gt;EvalPower(U58:W58)), "NG Total and Power total both mistake", IF(EvalPower(E58:G58)&lt;&gt;EvalPower(H58:Q58), "TOTAL ERROR", "POWER CUT ERROR!")))</f>
        <v/>
      </c>
    </row>
    <row r="59" spans="1:27" ht="25.5" customHeight="1">
      <c r="A59" s="12"/>
      <c r="B59" s="60"/>
      <c r="C59" s="39"/>
      <c r="D59" s="39"/>
      <c r="E59" s="27"/>
      <c r="F59" s="27"/>
      <c r="G59" s="27"/>
      <c r="H59" s="13"/>
      <c r="I59" s="13"/>
      <c r="J59" s="12"/>
      <c r="K59" s="13"/>
      <c r="L59" s="13"/>
      <c r="M59" s="13"/>
      <c r="N59" s="13"/>
      <c r="O59" s="13"/>
      <c r="P59" s="12"/>
      <c r="Q59" s="13"/>
      <c r="R59" s="65"/>
      <c r="S59" s="12"/>
      <c r="T59" s="15"/>
      <c r="U59" s="15"/>
      <c r="V59" s="15"/>
      <c r="W59" s="15"/>
      <c r="X59" s="18"/>
      <c r="Y59" s="18"/>
      <c r="Z59" s="18"/>
      <c r="AA59" s="36" t="str">
        <f t="shared" si="8"/>
        <v/>
      </c>
    </row>
    <row r="60" spans="1:27" ht="20.100000000000001" customHeight="1">
      <c r="A60" s="12"/>
      <c r="B60" s="60"/>
      <c r="C60" s="39"/>
      <c r="D60" s="39"/>
      <c r="E60" s="27"/>
      <c r="F60" s="27"/>
      <c r="G60" s="27"/>
      <c r="H60" s="13"/>
      <c r="I60" s="13"/>
      <c r="J60" s="12"/>
      <c r="K60" s="13"/>
      <c r="L60" s="13"/>
      <c r="M60" s="13"/>
      <c r="N60" s="13"/>
      <c r="O60" s="13"/>
      <c r="P60" s="12"/>
      <c r="Q60" s="13"/>
      <c r="R60" s="65"/>
      <c r="S60" s="12"/>
      <c r="T60" s="15"/>
      <c r="U60" s="15"/>
      <c r="V60" s="15"/>
      <c r="W60" s="15"/>
      <c r="X60" s="18"/>
      <c r="Y60" s="18"/>
      <c r="Z60" s="18"/>
      <c r="AA60" s="36" t="str">
        <f t="shared" ref="AA60:AA72" si="9">IF(AND(EvalPower(E60:G60)=EvalPower(H60:Q60), EvalPower(P60)=EvalPower(U60:W60)), "", IF(AND(EvalPower(E60:G60)&lt;&gt;EvalPower(H60:Q60), EvalPower(P60)&lt;&gt;EvalPower(U60:W60)), "NG Total and Power total both mistake", IF(EvalPower(E60:G60)&lt;&gt;EvalPower(H60:Q60), "TOTAL ERROR", "POWER CUT ERROR!")))</f>
        <v/>
      </c>
    </row>
    <row r="61" spans="1:27" ht="20.100000000000001" customHeight="1">
      <c r="A61" s="12"/>
      <c r="B61" s="60"/>
      <c r="C61" s="39"/>
      <c r="D61" s="39"/>
      <c r="E61" s="27"/>
      <c r="F61" s="27"/>
      <c r="G61" s="27"/>
      <c r="H61" s="13"/>
      <c r="I61" s="13"/>
      <c r="J61" s="12"/>
      <c r="K61" s="13"/>
      <c r="L61" s="13"/>
      <c r="M61" s="13"/>
      <c r="N61" s="13"/>
      <c r="O61" s="13"/>
      <c r="P61" s="12"/>
      <c r="Q61" s="13"/>
      <c r="R61" s="65"/>
      <c r="S61" s="12"/>
      <c r="T61" s="15"/>
      <c r="U61" s="15"/>
      <c r="V61" s="15"/>
      <c r="W61" s="15"/>
      <c r="X61" s="18"/>
      <c r="Y61" s="18"/>
      <c r="Z61" s="18"/>
      <c r="AA61" s="36" t="str">
        <f t="shared" si="9"/>
        <v/>
      </c>
    </row>
    <row r="62" spans="1:27" ht="20.100000000000001" customHeight="1">
      <c r="A62" s="12"/>
      <c r="B62" s="60"/>
      <c r="C62" s="39"/>
      <c r="D62" s="39"/>
      <c r="E62" s="27"/>
      <c r="F62" s="27"/>
      <c r="G62" s="27"/>
      <c r="H62" s="13"/>
      <c r="I62" s="13"/>
      <c r="J62" s="12"/>
      <c r="K62" s="13"/>
      <c r="L62" s="13"/>
      <c r="M62" s="13"/>
      <c r="N62" s="13"/>
      <c r="O62" s="13"/>
      <c r="P62" s="12"/>
      <c r="Q62" s="13"/>
      <c r="R62" s="65"/>
      <c r="S62" s="12"/>
      <c r="T62" s="15"/>
      <c r="U62" s="15"/>
      <c r="V62" s="15"/>
      <c r="W62" s="15"/>
      <c r="X62" s="18"/>
      <c r="Y62" s="18"/>
      <c r="Z62" s="18"/>
      <c r="AA62" s="36" t="str">
        <f>IF(AND(EvalPower(E62:G62)=EvalPower(H62:Q62), EvalPower(P62)=EvalPower(U62:W62)), "", IF(AND(EvalPower(E62:G62)&lt;&gt;EvalPower(H62:Q62), EvalPower(P62)&lt;&gt;EvalPower(U62:W62)), "NG Total and Power total both mistake", IF(EvalPower(E62:G62)&lt;&gt;EvalPower(H62:Q62), "TOTAL ERROR", "POWER CUT ERROR!")))</f>
        <v/>
      </c>
    </row>
    <row r="63" spans="1:27" ht="20.100000000000001" customHeight="1">
      <c r="A63" s="12"/>
      <c r="B63" s="60"/>
      <c r="C63" s="39"/>
      <c r="D63" s="39"/>
      <c r="E63" s="27"/>
      <c r="F63" s="27"/>
      <c r="G63" s="27"/>
      <c r="H63" s="13"/>
      <c r="I63" s="13"/>
      <c r="J63" s="12"/>
      <c r="K63" s="13"/>
      <c r="L63" s="13"/>
      <c r="M63" s="13"/>
      <c r="N63" s="13"/>
      <c r="O63" s="13"/>
      <c r="P63" s="12"/>
      <c r="Q63" s="13"/>
      <c r="R63" s="65"/>
      <c r="S63" s="12"/>
      <c r="T63" s="15"/>
      <c r="U63" s="15"/>
      <c r="V63" s="15"/>
      <c r="W63" s="15"/>
      <c r="X63" s="18"/>
      <c r="Y63" s="18"/>
      <c r="Z63" s="18"/>
      <c r="AA63" s="36" t="str">
        <f>IF(AND(EvalPower(E63:G63)=EvalPower(H63:Q63), EvalPower(P63)=EvalPower(U63:W63)), "", IF(AND(EvalPower(E63:G63)&lt;&gt;EvalPower(H63:Q63), EvalPower(P63)&lt;&gt;EvalPower(U63:W63)), "NG Total and Power total both mistake", IF(EvalPower(E63:G63)&lt;&gt;EvalPower(H63:Q63), "TOTAL ERROR", "POWER CUT ERROR!")))</f>
        <v/>
      </c>
    </row>
    <row r="64" spans="1:27" ht="20.100000000000001" customHeight="1">
      <c r="A64" s="12"/>
      <c r="B64" s="60"/>
      <c r="C64" s="39"/>
      <c r="D64" s="39"/>
      <c r="E64" s="27"/>
      <c r="F64" s="27"/>
      <c r="G64" s="27"/>
      <c r="H64" s="13"/>
      <c r="I64" s="13"/>
      <c r="J64" s="12"/>
      <c r="K64" s="13"/>
      <c r="L64" s="13"/>
      <c r="M64" s="13"/>
      <c r="N64" s="13"/>
      <c r="O64" s="13"/>
      <c r="P64" s="12"/>
      <c r="Q64" s="13"/>
      <c r="R64" s="65"/>
      <c r="S64" s="12"/>
      <c r="T64" s="15"/>
      <c r="U64" s="15"/>
      <c r="V64" s="15"/>
      <c r="W64" s="15"/>
      <c r="X64" s="18"/>
      <c r="Y64" s="18"/>
      <c r="Z64" s="18"/>
      <c r="AA64" s="36" t="str">
        <f>IF(AND(EvalPower(E64:G64)=EvalPower(H64:Q64), EvalPower(P64)=EvalPower(U64:W64)), "", IF(AND(EvalPower(E64:G64)&lt;&gt;EvalPower(H64:Q64), EvalPower(P64)&lt;&gt;EvalPower(U64:W64)), "NG Total and Power total both mistake", IF(EvalPower(E64:G64)&lt;&gt;EvalPower(H64:Q64), "TOTAL ERROR", "POWER CUT ERROR!")))</f>
        <v/>
      </c>
    </row>
    <row r="65" spans="1:27" ht="20.100000000000001" customHeight="1">
      <c r="A65" s="12"/>
      <c r="B65" s="60"/>
      <c r="C65" s="39"/>
      <c r="D65" s="39"/>
      <c r="E65" s="27"/>
      <c r="F65" s="27"/>
      <c r="G65" s="27"/>
      <c r="H65" s="13"/>
      <c r="I65" s="13"/>
      <c r="J65" s="12"/>
      <c r="K65" s="13"/>
      <c r="L65" s="13"/>
      <c r="M65" s="13"/>
      <c r="N65" s="13"/>
      <c r="O65" s="13"/>
      <c r="P65" s="12"/>
      <c r="Q65" s="13"/>
      <c r="R65" s="65"/>
      <c r="S65" s="12"/>
      <c r="T65" s="15"/>
      <c r="U65" s="15"/>
      <c r="V65" s="15"/>
      <c r="W65" s="15"/>
      <c r="X65" s="18"/>
      <c r="Y65" s="18"/>
      <c r="Z65" s="18"/>
      <c r="AA65" s="36" t="str">
        <f>IF(AND(EvalPower(E65:G65)=EvalPower(H65:Q65), EvalPower(P65)=EvalPower(U65:W65)), "", IF(AND(EvalPower(E65:G65)&lt;&gt;EvalPower(H65:Q65), EvalPower(P65)&lt;&gt;EvalPower(U65:W65)), "NG Total and Power total both mistake", IF(EvalPower(E65:G65)&lt;&gt;EvalPower(H65:Q65), "TOTAL ERROR", "POWER CUT ERROR!")))</f>
        <v/>
      </c>
    </row>
    <row r="66" spans="1:27" ht="20.100000000000001" customHeight="1">
      <c r="A66" s="12"/>
      <c r="B66" s="60"/>
      <c r="C66" s="39"/>
      <c r="D66" s="39"/>
      <c r="E66" s="27"/>
      <c r="F66" s="27"/>
      <c r="G66" s="27"/>
      <c r="H66" s="13"/>
      <c r="I66" s="13"/>
      <c r="J66" s="12"/>
      <c r="K66" s="13"/>
      <c r="L66" s="13"/>
      <c r="M66" s="13"/>
      <c r="N66" s="13"/>
      <c r="O66" s="13"/>
      <c r="P66" s="12"/>
      <c r="Q66" s="13"/>
      <c r="R66" s="65"/>
      <c r="S66" s="12"/>
      <c r="T66" s="15"/>
      <c r="U66" s="15"/>
      <c r="V66" s="15"/>
      <c r="W66" s="15"/>
      <c r="X66" s="18"/>
      <c r="Y66" s="18"/>
      <c r="Z66" s="18"/>
      <c r="AA66" s="36" t="str">
        <f t="shared" si="9"/>
        <v/>
      </c>
    </row>
    <row r="67" spans="1:27" ht="20.100000000000001" customHeight="1">
      <c r="A67" s="12"/>
      <c r="B67" s="60"/>
      <c r="C67" s="39"/>
      <c r="D67" s="39"/>
      <c r="E67" s="27"/>
      <c r="F67" s="27"/>
      <c r="G67" s="27"/>
      <c r="H67" s="13"/>
      <c r="I67" s="13"/>
      <c r="J67" s="12"/>
      <c r="K67" s="13"/>
      <c r="L67" s="13"/>
      <c r="M67" s="13"/>
      <c r="N67" s="13"/>
      <c r="O67" s="13"/>
      <c r="P67" s="12"/>
      <c r="Q67" s="13"/>
      <c r="R67" s="65"/>
      <c r="S67" s="12"/>
      <c r="T67" s="15"/>
      <c r="U67" s="15"/>
      <c r="V67" s="15"/>
      <c r="W67" s="15"/>
      <c r="X67" s="18"/>
      <c r="Y67" s="18"/>
      <c r="Z67" s="18"/>
      <c r="AA67" s="36" t="str">
        <f>IF(AND(EvalPower(E67:G67)=EvalPower(H67:Q67), EvalPower(P67)=EvalPower(U67:W67)), "", IF(AND(EvalPower(E67:G67)&lt;&gt;EvalPower(H67:Q67), EvalPower(P67)&lt;&gt;EvalPower(U67:W67)), "NG Total and Power total both mistake", IF(EvalPower(E67:G67)&lt;&gt;EvalPower(H67:Q67), "TOTAL ERROR", "POWER CUT ERROR!")))</f>
        <v/>
      </c>
    </row>
    <row r="68" spans="1:27" ht="20.100000000000001" customHeight="1">
      <c r="A68" s="12"/>
      <c r="B68" s="60"/>
      <c r="C68" s="39"/>
      <c r="D68" s="39"/>
      <c r="E68" s="27"/>
      <c r="F68" s="27"/>
      <c r="G68" s="27"/>
      <c r="H68" s="13"/>
      <c r="I68" s="13"/>
      <c r="J68" s="12"/>
      <c r="K68" s="13"/>
      <c r="L68" s="13"/>
      <c r="M68" s="13"/>
      <c r="N68" s="13"/>
      <c r="O68" s="13"/>
      <c r="P68" s="12"/>
      <c r="Q68" s="13"/>
      <c r="R68" s="65"/>
      <c r="S68" s="12"/>
      <c r="T68" s="15"/>
      <c r="U68" s="15"/>
      <c r="V68" s="15"/>
      <c r="W68" s="15"/>
      <c r="X68" s="18"/>
      <c r="Y68" s="18"/>
      <c r="Z68" s="18"/>
      <c r="AA68" s="36" t="str">
        <f>IF(AND(EvalPower(E68:G68)=EvalPower(H68:Q68), EvalPower(P68)=EvalPower(U68:W68)), "", IF(AND(EvalPower(E68:G68)&lt;&gt;EvalPower(H68:Q68), EvalPower(P68)&lt;&gt;EvalPower(U68:W68)), "NG Total and Power total both mistake", IF(EvalPower(E68:G68)&lt;&gt;EvalPower(H68:Q68), "TOTAL ERROR", "POWER CUT ERROR!")))</f>
        <v/>
      </c>
    </row>
    <row r="69" spans="1:27" ht="20.100000000000001" customHeight="1">
      <c r="A69" s="12"/>
      <c r="B69" s="60"/>
      <c r="C69" s="39"/>
      <c r="D69" s="39"/>
      <c r="E69" s="27"/>
      <c r="F69" s="27"/>
      <c r="G69" s="27"/>
      <c r="H69" s="13"/>
      <c r="I69" s="13"/>
      <c r="J69" s="12"/>
      <c r="K69" s="13"/>
      <c r="L69" s="13"/>
      <c r="M69" s="13"/>
      <c r="N69" s="13"/>
      <c r="O69" s="13"/>
      <c r="P69" s="12"/>
      <c r="Q69" s="13"/>
      <c r="R69" s="65"/>
      <c r="S69" s="12"/>
      <c r="T69" s="15"/>
      <c r="U69" s="15"/>
      <c r="V69" s="15"/>
      <c r="W69" s="15"/>
      <c r="X69" s="18"/>
      <c r="Y69" s="18"/>
      <c r="Z69" s="18"/>
      <c r="AA69" s="36" t="str">
        <f t="shared" si="9"/>
        <v/>
      </c>
    </row>
    <row r="70" spans="1:27" ht="20.100000000000001" customHeight="1">
      <c r="A70" s="12"/>
      <c r="B70" s="60"/>
      <c r="C70" s="39"/>
      <c r="D70" s="39"/>
      <c r="E70" s="27"/>
      <c r="F70" s="27"/>
      <c r="G70" s="27"/>
      <c r="H70" s="13"/>
      <c r="I70" s="13"/>
      <c r="J70" s="12"/>
      <c r="K70" s="13"/>
      <c r="L70" s="13"/>
      <c r="M70" s="13"/>
      <c r="N70" s="13"/>
      <c r="O70" s="13"/>
      <c r="P70" s="12"/>
      <c r="Q70" s="13"/>
      <c r="R70" s="65"/>
      <c r="S70" s="12"/>
      <c r="T70" s="15"/>
      <c r="U70" s="15"/>
      <c r="V70" s="15"/>
      <c r="W70" s="15"/>
      <c r="X70" s="18"/>
      <c r="Y70" s="18"/>
      <c r="Z70" s="18"/>
      <c r="AA70" s="36" t="str">
        <f>IF(AND(EvalPower(E70:G70)=EvalPower(H70:Q70), EvalPower(P70)=EvalPower(U70:W70)), "", IF(AND(EvalPower(E70:G70)&lt;&gt;EvalPower(H70:Q70), EvalPower(P70)&lt;&gt;EvalPower(U70:W70)), "NG Total and Power total both mistake", IF(EvalPower(E70:G70)&lt;&gt;EvalPower(H70:Q70), "TOTAL ERROR", "POWER CUT ERROR!")))</f>
        <v/>
      </c>
    </row>
    <row r="71" spans="1:27" ht="20.100000000000001" customHeight="1">
      <c r="A71" s="12"/>
      <c r="B71" s="60"/>
      <c r="C71" s="39"/>
      <c r="D71" s="39"/>
      <c r="E71" s="27"/>
      <c r="F71" s="27"/>
      <c r="G71" s="27"/>
      <c r="H71" s="13"/>
      <c r="I71" s="13"/>
      <c r="J71" s="12"/>
      <c r="K71" s="13"/>
      <c r="L71" s="13"/>
      <c r="M71" s="13"/>
      <c r="N71" s="13"/>
      <c r="O71" s="13"/>
      <c r="P71" s="12"/>
      <c r="Q71" s="13"/>
      <c r="R71" s="65"/>
      <c r="S71" s="12"/>
      <c r="T71" s="15"/>
      <c r="U71" s="15"/>
      <c r="V71" s="15"/>
      <c r="W71" s="15"/>
      <c r="X71" s="18"/>
      <c r="Y71" s="18"/>
      <c r="Z71" s="18"/>
      <c r="AA71" s="36" t="str">
        <f t="shared" si="9"/>
        <v/>
      </c>
    </row>
    <row r="72" spans="1:27" ht="20.100000000000001" customHeight="1">
      <c r="A72" s="12"/>
      <c r="B72" s="60"/>
      <c r="C72" s="39"/>
      <c r="D72" s="39"/>
      <c r="E72" s="27"/>
      <c r="F72" s="27"/>
      <c r="G72" s="27"/>
      <c r="H72" s="13"/>
      <c r="I72" s="13"/>
      <c r="J72" s="12"/>
      <c r="K72" s="13"/>
      <c r="L72" s="13"/>
      <c r="M72" s="13"/>
      <c r="N72" s="13"/>
      <c r="O72" s="13"/>
      <c r="P72" s="12"/>
      <c r="Q72" s="13"/>
      <c r="R72" s="65"/>
      <c r="S72" s="12"/>
      <c r="T72" s="15"/>
      <c r="U72" s="15"/>
      <c r="V72" s="15"/>
      <c r="W72" s="15"/>
      <c r="X72" s="18"/>
      <c r="Y72" s="18"/>
      <c r="Z72" s="18"/>
      <c r="AA72" s="36" t="str">
        <f t="shared" si="9"/>
        <v/>
      </c>
    </row>
    <row r="73" spans="1:27" ht="20.100000000000001" customHeight="1">
      <c r="A73" s="12"/>
      <c r="B73" s="60"/>
      <c r="C73" s="39"/>
      <c r="D73" s="39"/>
      <c r="E73" s="27"/>
      <c r="F73" s="27"/>
      <c r="G73" s="27"/>
      <c r="H73" s="13"/>
      <c r="I73" s="13"/>
      <c r="J73" s="12"/>
      <c r="K73" s="13"/>
      <c r="L73" s="13"/>
      <c r="M73" s="13"/>
      <c r="N73" s="13"/>
      <c r="O73" s="13"/>
      <c r="P73" s="12"/>
      <c r="Q73" s="13"/>
      <c r="R73" s="65"/>
      <c r="S73" s="12"/>
      <c r="T73" s="15"/>
      <c r="U73" s="15"/>
      <c r="V73" s="15"/>
      <c r="W73" s="15"/>
      <c r="X73" s="18"/>
      <c r="Y73" s="18"/>
      <c r="Z73" s="18"/>
      <c r="AA73" s="36" t="str">
        <f t="shared" ref="AA73:AA79" si="10">IF(AND(EvalPower(E73:G73)=EvalPower(H73:Q73), EvalPower(P73)=EvalPower(U73:W73)), "", IF(AND(EvalPower(E73:G73)&lt;&gt;EvalPower(H73:Q73), EvalPower(P73)&lt;&gt;EvalPower(U73:W73)), "NG Total and Power total both mistake", IF(EvalPower(E73:G73)&lt;&gt;EvalPower(H73:Q73), "TOTAL ERROR", "POWER CUT ERROR!")))</f>
        <v/>
      </c>
    </row>
    <row r="74" spans="1:27" ht="36" customHeight="1">
      <c r="A74" s="12"/>
      <c r="B74" s="60"/>
      <c r="C74" s="39"/>
      <c r="D74" s="39"/>
      <c r="E74" s="27"/>
      <c r="F74" s="27"/>
      <c r="G74" s="27"/>
      <c r="H74" s="13"/>
      <c r="I74" s="13"/>
      <c r="J74" s="12"/>
      <c r="K74" s="13"/>
      <c r="L74" s="13"/>
      <c r="M74" s="13"/>
      <c r="N74" s="13"/>
      <c r="O74" s="13"/>
      <c r="P74" s="12"/>
      <c r="Q74" s="13"/>
      <c r="R74" s="65"/>
      <c r="S74" s="12"/>
      <c r="T74" s="15"/>
      <c r="U74" s="15"/>
      <c r="V74" s="15"/>
      <c r="W74" s="15"/>
      <c r="X74" s="18"/>
      <c r="Y74" s="18"/>
      <c r="Z74" s="18"/>
      <c r="AA74" s="36" t="str">
        <f t="shared" si="10"/>
        <v/>
      </c>
    </row>
    <row r="75" spans="1:27" ht="29.25" customHeight="1">
      <c r="A75" s="12"/>
      <c r="B75" s="60"/>
      <c r="C75" s="39"/>
      <c r="D75" s="39"/>
      <c r="E75" s="27"/>
      <c r="F75" s="27"/>
      <c r="G75" s="27"/>
      <c r="H75" s="13"/>
      <c r="I75" s="13"/>
      <c r="J75" s="12"/>
      <c r="K75" s="13"/>
      <c r="L75" s="13"/>
      <c r="M75" s="13"/>
      <c r="N75" s="13"/>
      <c r="O75" s="13"/>
      <c r="P75" s="12"/>
      <c r="Q75" s="13"/>
      <c r="R75" s="65"/>
      <c r="S75" s="12"/>
      <c r="T75" s="15"/>
      <c r="U75" s="15"/>
      <c r="V75" s="15"/>
      <c r="W75" s="15"/>
      <c r="X75" s="18"/>
      <c r="Y75" s="18"/>
      <c r="Z75" s="18"/>
      <c r="AA75" s="36" t="str">
        <f t="shared" si="10"/>
        <v/>
      </c>
    </row>
    <row r="76" spans="1:27" ht="36.75" customHeight="1">
      <c r="A76" s="12"/>
      <c r="B76" s="60"/>
      <c r="C76" s="39"/>
      <c r="D76" s="39"/>
      <c r="E76" s="27"/>
      <c r="F76" s="27"/>
      <c r="G76" s="27"/>
      <c r="H76" s="13"/>
      <c r="I76" s="13"/>
      <c r="J76" s="12"/>
      <c r="K76" s="13"/>
      <c r="L76" s="13"/>
      <c r="M76" s="13"/>
      <c r="N76" s="13"/>
      <c r="O76" s="13"/>
      <c r="P76" s="12"/>
      <c r="Q76" s="13"/>
      <c r="R76" s="65"/>
      <c r="S76" s="12"/>
      <c r="T76" s="15"/>
      <c r="U76" s="15"/>
      <c r="V76" s="15"/>
      <c r="W76" s="15"/>
      <c r="X76" s="18"/>
      <c r="Y76" s="18"/>
      <c r="Z76" s="18"/>
      <c r="AA76" s="36" t="str">
        <f t="shared" si="10"/>
        <v/>
      </c>
    </row>
    <row r="77" spans="1:27" ht="28.5" customHeight="1">
      <c r="A77" s="12"/>
      <c r="B77" s="60"/>
      <c r="C77" s="39"/>
      <c r="D77" s="41"/>
      <c r="E77" s="27"/>
      <c r="F77" s="27"/>
      <c r="G77" s="27"/>
      <c r="H77" s="13"/>
      <c r="I77" s="13"/>
      <c r="J77" s="12"/>
      <c r="K77" s="13"/>
      <c r="L77" s="13"/>
      <c r="M77" s="13"/>
      <c r="N77" s="13"/>
      <c r="O77" s="13"/>
      <c r="P77" s="12"/>
      <c r="Q77" s="13"/>
      <c r="R77" s="65"/>
      <c r="S77" s="12"/>
      <c r="T77" s="15"/>
      <c r="U77" s="15"/>
      <c r="V77" s="15"/>
      <c r="W77" s="15"/>
      <c r="X77" s="18"/>
      <c r="Y77" s="18"/>
      <c r="Z77" s="18"/>
      <c r="AA77" s="36" t="str">
        <f t="shared" si="10"/>
        <v/>
      </c>
    </row>
    <row r="78" spans="1:27" ht="40.5" customHeight="1">
      <c r="A78" s="12"/>
      <c r="B78" s="60"/>
      <c r="C78" s="39"/>
      <c r="D78" s="64"/>
      <c r="E78" s="27"/>
      <c r="F78" s="27"/>
      <c r="G78" s="27"/>
      <c r="H78" s="13"/>
      <c r="I78" s="13"/>
      <c r="J78" s="12"/>
      <c r="K78" s="13"/>
      <c r="L78" s="13"/>
      <c r="M78" s="13"/>
      <c r="N78" s="13"/>
      <c r="O78" s="13"/>
      <c r="P78" s="12"/>
      <c r="Q78" s="13"/>
      <c r="R78" s="65"/>
      <c r="S78" s="12"/>
      <c r="T78" s="15"/>
      <c r="U78" s="15"/>
      <c r="V78" s="15"/>
      <c r="W78" s="15"/>
      <c r="X78" s="18"/>
      <c r="Y78" s="18"/>
      <c r="Z78" s="18"/>
      <c r="AA78" s="36" t="str">
        <f t="shared" si="10"/>
        <v/>
      </c>
    </row>
    <row r="79" spans="1:27" ht="27.75" customHeight="1">
      <c r="A79" s="12"/>
      <c r="B79" s="60"/>
      <c r="C79" s="39"/>
      <c r="D79" s="41"/>
      <c r="E79" s="27"/>
      <c r="F79" s="27"/>
      <c r="G79" s="27"/>
      <c r="H79" s="13"/>
      <c r="I79" s="13"/>
      <c r="J79" s="12"/>
      <c r="K79" s="13"/>
      <c r="L79" s="13"/>
      <c r="M79" s="13"/>
      <c r="N79" s="13"/>
      <c r="O79" s="13"/>
      <c r="P79" s="12"/>
      <c r="Q79" s="13"/>
      <c r="R79" s="65"/>
      <c r="S79" s="12"/>
      <c r="T79" s="15"/>
      <c r="U79" s="15"/>
      <c r="V79" s="15"/>
      <c r="W79" s="15"/>
      <c r="X79" s="18"/>
      <c r="Y79" s="18"/>
      <c r="Z79" s="18"/>
      <c r="AA79" s="36" t="str">
        <f t="shared" si="10"/>
        <v/>
      </c>
    </row>
    <row r="80" spans="1:27" ht="33" customHeight="1">
      <c r="A80" s="12"/>
      <c r="B80" s="60"/>
      <c r="C80" s="39"/>
      <c r="D80" s="41"/>
      <c r="E80" s="27"/>
      <c r="F80" s="27"/>
      <c r="G80" s="27"/>
      <c r="H80" s="13"/>
      <c r="I80" s="13"/>
      <c r="J80" s="12"/>
      <c r="K80" s="13"/>
      <c r="L80" s="13"/>
      <c r="M80" s="13"/>
      <c r="N80" s="13"/>
      <c r="O80" s="13"/>
      <c r="P80" s="12"/>
      <c r="Q80" s="13"/>
      <c r="R80" s="65"/>
      <c r="S80" s="12"/>
      <c r="T80" s="15"/>
      <c r="U80" s="15"/>
      <c r="V80" s="15"/>
      <c r="W80" s="15"/>
      <c r="X80" s="18"/>
      <c r="Y80" s="18"/>
      <c r="Z80" s="18"/>
      <c r="AA80" s="36" t="str">
        <f t="shared" ref="AA80:AA81" si="11">IF(AND(EvalPower(E80:G80)=EvalPower(H80:Q80), EvalPower(P80)=EvalPower(U80:W80)), "", IF(AND(EvalPower(E80:G80)&lt;&gt;EvalPower(H80:Q80), EvalPower(P80)&lt;&gt;EvalPower(U80:W80)), "NG Total and Power total both mistake", IF(EvalPower(E80:G80)&lt;&gt;EvalPower(H80:Q80), "TOTAL ERROR", "POWER CUT ERROR!")))</f>
        <v/>
      </c>
    </row>
    <row r="81" spans="1:27" ht="27" customHeight="1">
      <c r="A81" s="12"/>
      <c r="B81" s="60"/>
      <c r="C81" s="39"/>
      <c r="D81" s="12"/>
      <c r="E81" s="27"/>
      <c r="F81" s="27"/>
      <c r="G81" s="27"/>
      <c r="H81" s="13"/>
      <c r="I81" s="13"/>
      <c r="J81" s="12"/>
      <c r="K81" s="13"/>
      <c r="L81" s="13"/>
      <c r="M81" s="13"/>
      <c r="N81" s="13"/>
      <c r="O81" s="13"/>
      <c r="P81" s="12"/>
      <c r="Q81" s="13"/>
      <c r="R81" s="65"/>
      <c r="S81" s="12"/>
      <c r="T81" s="15"/>
      <c r="U81" s="15"/>
      <c r="V81" s="15"/>
      <c r="W81" s="15"/>
      <c r="X81" s="18"/>
      <c r="Y81" s="18"/>
      <c r="Z81" s="18"/>
      <c r="AA81" s="36" t="str">
        <f t="shared" si="11"/>
        <v/>
      </c>
    </row>
    <row r="82" spans="1:27" ht="28.5" customHeight="1">
      <c r="A82" s="12"/>
      <c r="B82" s="60"/>
      <c r="C82" s="39"/>
      <c r="D82" s="12"/>
      <c r="E82" s="27"/>
      <c r="F82" s="27"/>
      <c r="G82" s="27"/>
      <c r="H82" s="13"/>
      <c r="I82" s="13"/>
      <c r="J82" s="12"/>
      <c r="K82" s="13"/>
      <c r="L82" s="13"/>
      <c r="M82" s="13"/>
      <c r="N82" s="13"/>
      <c r="O82" s="13"/>
      <c r="P82" s="12"/>
      <c r="Q82" s="13"/>
      <c r="R82" s="65"/>
      <c r="S82" s="12"/>
      <c r="T82" s="15"/>
      <c r="U82" s="15"/>
      <c r="V82" s="15"/>
      <c r="W82" s="15"/>
      <c r="X82" s="18"/>
      <c r="Y82" s="18"/>
      <c r="Z82" s="18"/>
      <c r="AA82" s="36" t="str">
        <f t="shared" ref="AA82:AA101" si="12">IF(AND(EvalPower(E82:G82)=EvalPower(H82:Q82), EvalPower(P82)=EvalPower(U82:W82)), "", IF(AND(EvalPower(E82:G82)&lt;&gt;EvalPower(H82:Q82), EvalPower(P82)&lt;&gt;EvalPower(U82:W82)), "NG Total and Power total both mistake", IF(EvalPower(E82:G82)&lt;&gt;EvalPower(H82:Q82), "TOTAL ERROR", "POWER CUT ERROR!")))</f>
        <v/>
      </c>
    </row>
    <row r="83" spans="1:27" ht="23.25" customHeight="1">
      <c r="A83" s="12"/>
      <c r="B83" s="14"/>
      <c r="C83" s="12"/>
      <c r="D83" s="12"/>
      <c r="E83" s="27"/>
      <c r="F83" s="27"/>
      <c r="G83" s="27"/>
      <c r="H83" s="13"/>
      <c r="I83" s="13"/>
      <c r="J83" s="12"/>
      <c r="K83" s="13"/>
      <c r="L83" s="13"/>
      <c r="M83" s="13"/>
      <c r="N83" s="13"/>
      <c r="O83" s="13"/>
      <c r="P83" s="12"/>
      <c r="Q83" s="13"/>
      <c r="R83" s="65"/>
      <c r="S83" s="12"/>
      <c r="T83" s="15"/>
      <c r="U83" s="15"/>
      <c r="V83" s="15"/>
      <c r="W83" s="15"/>
      <c r="X83" s="18"/>
      <c r="Y83" s="18"/>
      <c r="Z83" s="18"/>
      <c r="AA83" s="36" t="str">
        <f>IF(AND(EvalPower(E83:G83)=EvalPower(H83:Q83), EvalPower(P83)=EvalPower(U83:W83)), "", IF(AND(EvalPower(E83:G83)&lt;&gt;EvalPower(H83:Q83), EvalPower(P83)&lt;&gt;EvalPower(U83:W83)), "NG Total and Power total both mistake", IF(EvalPower(E83:G83)&lt;&gt;EvalPower(H83:Q83), "TOTAL ERROR", "POWER CUT ERROR!")))</f>
        <v/>
      </c>
    </row>
    <row r="84" spans="1:27" ht="23.25" customHeight="1">
      <c r="A84" s="12"/>
      <c r="B84" s="14"/>
      <c r="C84" s="12"/>
      <c r="D84" s="12"/>
      <c r="E84" s="27"/>
      <c r="F84" s="27"/>
      <c r="G84" s="27"/>
      <c r="H84" s="13"/>
      <c r="I84" s="13"/>
      <c r="J84" s="12"/>
      <c r="K84" s="13"/>
      <c r="L84" s="13"/>
      <c r="M84" s="13"/>
      <c r="N84" s="13"/>
      <c r="O84" s="13"/>
      <c r="P84" s="12"/>
      <c r="Q84" s="13"/>
      <c r="R84" s="65"/>
      <c r="S84" s="12"/>
      <c r="T84" s="15"/>
      <c r="U84" s="15"/>
      <c r="V84" s="15"/>
      <c r="W84" s="15"/>
      <c r="X84" s="18"/>
      <c r="Y84" s="18"/>
      <c r="Z84" s="18"/>
      <c r="AA84" s="36" t="str">
        <f>IF(AND(EvalPower(E84:G84)=EvalPower(H84:Q84), EvalPower(P84)=EvalPower(U84:W84)), "", IF(AND(EvalPower(E84:G84)&lt;&gt;EvalPower(H84:Q84), EvalPower(P84)&lt;&gt;EvalPower(U84:W84)), "NG Total and Power total both mistake", IF(EvalPower(E84:G84)&lt;&gt;EvalPower(H84:Q84), "TOTAL ERROR", "POWER CUT ERROR!")))</f>
        <v/>
      </c>
    </row>
    <row r="85" spans="1:27" ht="23.25" customHeight="1">
      <c r="A85" s="12"/>
      <c r="B85" s="14"/>
      <c r="C85" s="12"/>
      <c r="D85" s="12"/>
      <c r="E85" s="27"/>
      <c r="F85" s="27"/>
      <c r="G85" s="27"/>
      <c r="H85" s="13"/>
      <c r="I85" s="13"/>
      <c r="J85" s="12"/>
      <c r="K85" s="13"/>
      <c r="L85" s="13"/>
      <c r="M85" s="13"/>
      <c r="N85" s="13"/>
      <c r="O85" s="13"/>
      <c r="P85" s="12"/>
      <c r="Q85" s="13"/>
      <c r="R85" s="65"/>
      <c r="S85" s="12"/>
      <c r="T85" s="15"/>
      <c r="U85" s="15"/>
      <c r="V85" s="15"/>
      <c r="W85" s="15"/>
      <c r="X85" s="18"/>
      <c r="Y85" s="18"/>
      <c r="Z85" s="18"/>
      <c r="AA85" s="36" t="str">
        <f>IF(AND(EvalPower(E85:G85)=EvalPower(H85:Q85), EvalPower(P85)=EvalPower(U85:W85)), "", IF(AND(EvalPower(E85:G85)&lt;&gt;EvalPower(H85:Q85), EvalPower(P85)&lt;&gt;EvalPower(U85:W85)), "NG Total and Power total both mistake", IF(EvalPower(E85:G85)&lt;&gt;EvalPower(H85:Q85), "TOTAL ERROR", "POWER CUT ERROR!")))</f>
        <v/>
      </c>
    </row>
    <row r="86" spans="1:27" ht="23.25" customHeight="1">
      <c r="A86" s="12"/>
      <c r="B86" s="14"/>
      <c r="C86" s="12"/>
      <c r="D86" s="12"/>
      <c r="E86" s="27"/>
      <c r="F86" s="27"/>
      <c r="G86" s="27"/>
      <c r="H86" s="13"/>
      <c r="I86" s="13"/>
      <c r="J86" s="12"/>
      <c r="K86" s="13"/>
      <c r="L86" s="13"/>
      <c r="M86" s="13"/>
      <c r="N86" s="13"/>
      <c r="O86" s="13"/>
      <c r="P86" s="12"/>
      <c r="Q86" s="13"/>
      <c r="R86" s="65"/>
      <c r="S86" s="12"/>
      <c r="T86" s="15"/>
      <c r="U86" s="15"/>
      <c r="V86" s="15"/>
      <c r="W86" s="15"/>
      <c r="X86" s="18"/>
      <c r="Y86" s="18"/>
      <c r="Z86" s="18"/>
      <c r="AA86" s="36" t="str">
        <f t="shared" ref="AA86:AA98" si="13">IF(AND(EvalPower(E86:G86)=EvalPower(H86:Q86), EvalPower(P86)=EvalPower(U86:W86)), "", IF(AND(EvalPower(E86:G86)&lt;&gt;EvalPower(H86:Q86), EvalPower(P86)&lt;&gt;EvalPower(U86:W86)), "NG Total and Power total both mistake", IF(EvalPower(E86:G86)&lt;&gt;EvalPower(H86:Q86), "TOTAL ERROR", "POWER CUT ERROR!")))</f>
        <v/>
      </c>
    </row>
    <row r="87" spans="1:27" ht="26.25" customHeight="1">
      <c r="A87" s="12"/>
      <c r="B87" s="14"/>
      <c r="C87" s="12"/>
      <c r="D87" s="12"/>
      <c r="E87" s="27"/>
      <c r="F87" s="27"/>
      <c r="G87" s="27"/>
      <c r="H87" s="13"/>
      <c r="I87" s="13"/>
      <c r="J87" s="12"/>
      <c r="K87" s="13"/>
      <c r="L87" s="13"/>
      <c r="M87" s="13"/>
      <c r="N87" s="13"/>
      <c r="O87" s="13"/>
      <c r="P87" s="12"/>
      <c r="Q87" s="13"/>
      <c r="R87" s="65"/>
      <c r="S87" s="12"/>
      <c r="T87" s="15"/>
      <c r="U87" s="15"/>
      <c r="V87" s="15"/>
      <c r="W87" s="15"/>
      <c r="X87" s="18"/>
      <c r="Y87" s="18"/>
      <c r="Z87" s="18"/>
      <c r="AA87" s="36" t="str">
        <f t="shared" si="13"/>
        <v/>
      </c>
    </row>
    <row r="88" spans="1:27" ht="26.25" customHeight="1">
      <c r="A88" s="12"/>
      <c r="B88" s="14"/>
      <c r="C88" s="12"/>
      <c r="D88" s="12"/>
      <c r="E88" s="27"/>
      <c r="F88" s="27"/>
      <c r="G88" s="27"/>
      <c r="H88" s="13"/>
      <c r="I88" s="13"/>
      <c r="J88" s="12"/>
      <c r="K88" s="13"/>
      <c r="L88" s="13"/>
      <c r="M88" s="13"/>
      <c r="N88" s="13"/>
      <c r="O88" s="13"/>
      <c r="P88" s="12"/>
      <c r="Q88" s="13"/>
      <c r="R88" s="65"/>
      <c r="S88" s="12"/>
      <c r="T88" s="15"/>
      <c r="U88" s="15"/>
      <c r="V88" s="15"/>
      <c r="W88" s="15"/>
      <c r="X88" s="18"/>
      <c r="Y88" s="18"/>
      <c r="Z88" s="18"/>
      <c r="AA88" s="36" t="str">
        <f t="shared" si="13"/>
        <v/>
      </c>
    </row>
    <row r="89" spans="1:27" ht="26.25" customHeight="1">
      <c r="A89" s="12"/>
      <c r="B89" s="14"/>
      <c r="C89" s="12"/>
      <c r="D89" s="12"/>
      <c r="E89" s="27"/>
      <c r="F89" s="27"/>
      <c r="G89" s="27"/>
      <c r="H89" s="13"/>
      <c r="I89" s="13"/>
      <c r="J89" s="12"/>
      <c r="K89" s="13"/>
      <c r="L89" s="13"/>
      <c r="M89" s="13"/>
      <c r="N89" s="13"/>
      <c r="O89" s="13"/>
      <c r="P89" s="12"/>
      <c r="Q89" s="13"/>
      <c r="R89" s="65"/>
      <c r="S89" s="12"/>
      <c r="T89" s="15"/>
      <c r="U89" s="15"/>
      <c r="V89" s="15"/>
      <c r="W89" s="15"/>
      <c r="X89" s="18"/>
      <c r="Y89" s="18"/>
      <c r="Z89" s="18"/>
      <c r="AA89" s="36" t="str">
        <f t="shared" si="13"/>
        <v/>
      </c>
    </row>
    <row r="90" spans="1:27" ht="26.25" customHeight="1">
      <c r="A90" s="12"/>
      <c r="B90" s="14"/>
      <c r="C90" s="12"/>
      <c r="D90" s="12"/>
      <c r="E90" s="27"/>
      <c r="F90" s="27"/>
      <c r="G90" s="27"/>
      <c r="H90" s="13"/>
      <c r="I90" s="13"/>
      <c r="J90" s="12"/>
      <c r="K90" s="13"/>
      <c r="L90" s="13"/>
      <c r="M90" s="13"/>
      <c r="N90" s="13"/>
      <c r="O90" s="13"/>
      <c r="P90" s="12"/>
      <c r="Q90" s="13"/>
      <c r="R90" s="65"/>
      <c r="S90" s="12"/>
      <c r="T90" s="15"/>
      <c r="U90" s="15"/>
      <c r="V90" s="15"/>
      <c r="W90" s="15"/>
      <c r="X90" s="18"/>
      <c r="Y90" s="18"/>
      <c r="Z90" s="18"/>
      <c r="AA90" s="36" t="str">
        <f t="shared" si="13"/>
        <v/>
      </c>
    </row>
    <row r="91" spans="1:27" ht="26.25" customHeight="1">
      <c r="A91" s="12"/>
      <c r="B91" s="14"/>
      <c r="C91" s="12"/>
      <c r="D91" s="12"/>
      <c r="E91" s="27"/>
      <c r="F91" s="27"/>
      <c r="G91" s="27"/>
      <c r="H91" s="13"/>
      <c r="I91" s="13"/>
      <c r="J91" s="12"/>
      <c r="K91" s="13"/>
      <c r="L91" s="13"/>
      <c r="M91" s="13"/>
      <c r="N91" s="13"/>
      <c r="O91" s="13"/>
      <c r="P91" s="12"/>
      <c r="Q91" s="13"/>
      <c r="R91" s="65"/>
      <c r="S91" s="12"/>
      <c r="T91" s="15"/>
      <c r="U91" s="15"/>
      <c r="V91" s="15"/>
      <c r="W91" s="15"/>
      <c r="X91" s="18"/>
      <c r="Y91" s="18"/>
      <c r="Z91" s="18"/>
      <c r="AA91" s="36" t="str">
        <f t="shared" si="13"/>
        <v/>
      </c>
    </row>
    <row r="92" spans="1:27" ht="26.25" customHeight="1">
      <c r="A92" s="12"/>
      <c r="B92" s="14"/>
      <c r="C92" s="12"/>
      <c r="D92" s="12"/>
      <c r="E92" s="27"/>
      <c r="F92" s="27"/>
      <c r="G92" s="27"/>
      <c r="H92" s="13"/>
      <c r="I92" s="13"/>
      <c r="J92" s="12"/>
      <c r="K92" s="13"/>
      <c r="L92" s="13"/>
      <c r="M92" s="13"/>
      <c r="N92" s="13"/>
      <c r="O92" s="13"/>
      <c r="P92" s="12"/>
      <c r="Q92" s="13"/>
      <c r="R92" s="65"/>
      <c r="S92" s="12"/>
      <c r="T92" s="15"/>
      <c r="U92" s="15"/>
      <c r="V92" s="15"/>
      <c r="W92" s="15"/>
      <c r="X92" s="18"/>
      <c r="Y92" s="18"/>
      <c r="Z92" s="18"/>
      <c r="AA92" s="36" t="str">
        <f t="shared" si="13"/>
        <v/>
      </c>
    </row>
    <row r="93" spans="1:27" ht="26.25" customHeight="1">
      <c r="A93" s="12"/>
      <c r="B93" s="14"/>
      <c r="C93" s="12"/>
      <c r="D93" s="12"/>
      <c r="E93" s="27"/>
      <c r="F93" s="27"/>
      <c r="G93" s="27"/>
      <c r="H93" s="13"/>
      <c r="I93" s="13"/>
      <c r="J93" s="12"/>
      <c r="K93" s="13"/>
      <c r="L93" s="13"/>
      <c r="M93" s="13"/>
      <c r="N93" s="13"/>
      <c r="O93" s="13"/>
      <c r="P93" s="12"/>
      <c r="Q93" s="13"/>
      <c r="R93" s="65"/>
      <c r="S93" s="12"/>
      <c r="T93" s="15"/>
      <c r="U93" s="15"/>
      <c r="V93" s="15"/>
      <c r="W93" s="15"/>
      <c r="X93" s="18"/>
      <c r="Y93" s="18"/>
      <c r="Z93" s="18"/>
      <c r="AA93" s="36" t="str">
        <f t="shared" si="13"/>
        <v/>
      </c>
    </row>
    <row r="94" spans="1:27" ht="26.25" customHeight="1">
      <c r="A94" s="12"/>
      <c r="B94" s="14"/>
      <c r="C94" s="12"/>
      <c r="D94" s="12"/>
      <c r="E94" s="27"/>
      <c r="F94" s="27"/>
      <c r="G94" s="27"/>
      <c r="H94" s="13"/>
      <c r="I94" s="13"/>
      <c r="J94" s="12"/>
      <c r="K94" s="13"/>
      <c r="L94" s="13"/>
      <c r="M94" s="13"/>
      <c r="N94" s="13"/>
      <c r="O94" s="13"/>
      <c r="P94" s="12"/>
      <c r="Q94" s="13"/>
      <c r="R94" s="65"/>
      <c r="S94" s="12"/>
      <c r="T94" s="15"/>
      <c r="U94" s="15"/>
      <c r="V94" s="15"/>
      <c r="W94" s="15"/>
      <c r="X94" s="18"/>
      <c r="Y94" s="18"/>
      <c r="Z94" s="18"/>
      <c r="AA94" s="36" t="str">
        <f t="shared" si="13"/>
        <v/>
      </c>
    </row>
    <row r="95" spans="1:27" ht="26.25" customHeight="1">
      <c r="A95" s="12"/>
      <c r="B95" s="14"/>
      <c r="C95" s="12"/>
      <c r="D95" s="12"/>
      <c r="E95" s="27"/>
      <c r="F95" s="27"/>
      <c r="G95" s="27"/>
      <c r="H95" s="13"/>
      <c r="I95" s="13"/>
      <c r="J95" s="12"/>
      <c r="K95" s="13"/>
      <c r="L95" s="13"/>
      <c r="M95" s="13"/>
      <c r="N95" s="13"/>
      <c r="O95" s="13"/>
      <c r="P95" s="12"/>
      <c r="Q95" s="13"/>
      <c r="R95" s="65"/>
      <c r="S95" s="12"/>
      <c r="T95" s="15"/>
      <c r="U95" s="15"/>
      <c r="V95" s="15"/>
      <c r="W95" s="15"/>
      <c r="X95" s="18"/>
      <c r="Y95" s="18"/>
      <c r="Z95" s="18"/>
      <c r="AA95" s="36" t="str">
        <f t="shared" si="13"/>
        <v/>
      </c>
    </row>
    <row r="96" spans="1:27" ht="26.25" customHeight="1">
      <c r="A96" s="12"/>
      <c r="B96" s="14"/>
      <c r="C96" s="12"/>
      <c r="D96" s="12"/>
      <c r="E96" s="27"/>
      <c r="F96" s="27"/>
      <c r="G96" s="27"/>
      <c r="H96" s="13"/>
      <c r="I96" s="13"/>
      <c r="J96" s="12"/>
      <c r="K96" s="13"/>
      <c r="L96" s="13"/>
      <c r="M96" s="13"/>
      <c r="N96" s="13"/>
      <c r="O96" s="13"/>
      <c r="P96" s="12"/>
      <c r="Q96" s="13"/>
      <c r="R96" s="65"/>
      <c r="S96" s="12"/>
      <c r="T96" s="15"/>
      <c r="U96" s="15"/>
      <c r="V96" s="15"/>
      <c r="W96" s="15"/>
      <c r="X96" s="18"/>
      <c r="Y96" s="18"/>
      <c r="Z96" s="18"/>
      <c r="AA96" s="36" t="str">
        <f t="shared" si="13"/>
        <v/>
      </c>
    </row>
    <row r="97" spans="1:27" ht="26.25" customHeight="1">
      <c r="A97" s="12"/>
      <c r="B97" s="14"/>
      <c r="C97" s="12"/>
      <c r="D97" s="12"/>
      <c r="E97" s="27"/>
      <c r="F97" s="27"/>
      <c r="G97" s="27"/>
      <c r="H97" s="13"/>
      <c r="I97" s="13"/>
      <c r="J97" s="12"/>
      <c r="K97" s="13"/>
      <c r="L97" s="13"/>
      <c r="M97" s="13"/>
      <c r="N97" s="13"/>
      <c r="O97" s="13"/>
      <c r="P97" s="12"/>
      <c r="Q97" s="13"/>
      <c r="R97" s="65"/>
      <c r="S97" s="12"/>
      <c r="T97" s="15"/>
      <c r="U97" s="15"/>
      <c r="V97" s="15"/>
      <c r="W97" s="15"/>
      <c r="X97" s="18"/>
      <c r="Y97" s="18"/>
      <c r="Z97" s="18"/>
      <c r="AA97" s="36" t="str">
        <f t="shared" si="13"/>
        <v/>
      </c>
    </row>
    <row r="98" spans="1:27" ht="26.25" customHeight="1">
      <c r="A98" s="12"/>
      <c r="B98" s="14"/>
      <c r="C98" s="12"/>
      <c r="D98" s="12"/>
      <c r="E98" s="27"/>
      <c r="F98" s="27"/>
      <c r="G98" s="27"/>
      <c r="H98" s="13"/>
      <c r="I98" s="13"/>
      <c r="J98" s="12"/>
      <c r="K98" s="13"/>
      <c r="L98" s="13"/>
      <c r="M98" s="13"/>
      <c r="N98" s="13"/>
      <c r="O98" s="13"/>
      <c r="P98" s="12"/>
      <c r="Q98" s="13"/>
      <c r="R98" s="65"/>
      <c r="S98" s="12"/>
      <c r="T98" s="15"/>
      <c r="U98" s="15"/>
      <c r="V98" s="15"/>
      <c r="W98" s="15"/>
      <c r="X98" s="18"/>
      <c r="Y98" s="18"/>
      <c r="Z98" s="18"/>
      <c r="AA98" s="36" t="str">
        <f t="shared" si="13"/>
        <v/>
      </c>
    </row>
    <row r="99" spans="1:27" ht="26.25" customHeight="1">
      <c r="A99" s="12"/>
      <c r="B99" s="14"/>
      <c r="C99" s="12"/>
      <c r="D99" s="12"/>
      <c r="E99" s="27"/>
      <c r="F99" s="27"/>
      <c r="G99" s="27"/>
      <c r="H99" s="13"/>
      <c r="I99" s="13"/>
      <c r="J99" s="12"/>
      <c r="K99" s="13"/>
      <c r="L99" s="13"/>
      <c r="M99" s="13"/>
      <c r="N99" s="13"/>
      <c r="O99" s="13"/>
      <c r="P99" s="12"/>
      <c r="Q99" s="13"/>
      <c r="R99" s="65"/>
      <c r="S99" s="12"/>
      <c r="T99" s="15"/>
      <c r="U99" s="15"/>
      <c r="V99" s="15"/>
      <c r="W99" s="15"/>
      <c r="X99" s="18"/>
      <c r="Y99" s="18"/>
      <c r="Z99" s="18"/>
      <c r="AA99" s="36" t="str">
        <f t="shared" si="12"/>
        <v/>
      </c>
    </row>
    <row r="100" spans="1:27" ht="29.25" customHeight="1">
      <c r="A100" s="12"/>
      <c r="B100" s="14"/>
      <c r="C100" s="12"/>
      <c r="D100" s="12"/>
      <c r="E100" s="27"/>
      <c r="F100" s="27"/>
      <c r="G100" s="27"/>
      <c r="H100" s="13"/>
      <c r="I100" s="13"/>
      <c r="J100" s="12"/>
      <c r="K100" s="13"/>
      <c r="L100" s="13"/>
      <c r="M100" s="13"/>
      <c r="N100" s="13"/>
      <c r="O100" s="13"/>
      <c r="P100" s="12"/>
      <c r="Q100" s="13"/>
      <c r="R100" s="65"/>
      <c r="S100" s="12"/>
      <c r="T100" s="15"/>
      <c r="U100" s="15"/>
      <c r="V100" s="15"/>
      <c r="W100" s="15"/>
      <c r="X100" s="18"/>
      <c r="Y100" s="18"/>
      <c r="Z100" s="18"/>
      <c r="AA100" s="36" t="str">
        <f t="shared" si="12"/>
        <v/>
      </c>
    </row>
    <row r="101" spans="1:27" ht="30" customHeight="1">
      <c r="A101" s="12"/>
      <c r="B101" s="14"/>
      <c r="C101" s="12"/>
      <c r="D101" s="12"/>
      <c r="E101" s="27"/>
      <c r="F101" s="27"/>
      <c r="G101" s="27"/>
      <c r="H101" s="13"/>
      <c r="I101" s="13"/>
      <c r="J101" s="12"/>
      <c r="K101" s="13"/>
      <c r="L101" s="13"/>
      <c r="M101" s="13"/>
      <c r="N101" s="13"/>
      <c r="O101" s="13"/>
      <c r="P101" s="12"/>
      <c r="Q101" s="13"/>
      <c r="R101" s="65"/>
      <c r="S101" s="12"/>
      <c r="T101" s="15"/>
      <c r="U101" s="15"/>
      <c r="V101" s="15"/>
      <c r="W101" s="15"/>
      <c r="X101" s="18"/>
      <c r="Y101" s="18"/>
      <c r="Z101" s="18"/>
      <c r="AA101" s="36" t="str">
        <f t="shared" si="12"/>
        <v/>
      </c>
    </row>
    <row r="102" spans="1:27" ht="21.75" customHeight="1">
      <c r="A102" s="12"/>
      <c r="B102" s="14"/>
      <c r="C102" s="12"/>
      <c r="D102" s="12"/>
      <c r="E102" s="27"/>
      <c r="F102" s="27"/>
      <c r="G102" s="27"/>
      <c r="H102" s="13"/>
      <c r="I102" s="13"/>
      <c r="J102" s="12"/>
      <c r="K102" s="13"/>
      <c r="L102" s="13"/>
      <c r="M102" s="13"/>
      <c r="N102" s="13"/>
      <c r="O102" s="13"/>
      <c r="P102" s="12"/>
      <c r="Q102" s="13"/>
      <c r="R102" s="65"/>
      <c r="S102" s="12"/>
      <c r="T102" s="15"/>
      <c r="U102" s="15"/>
      <c r="V102" s="15"/>
      <c r="W102" s="15"/>
      <c r="X102" s="18"/>
      <c r="Y102" s="18"/>
      <c r="Z102" s="18"/>
      <c r="AA102" s="36" t="str">
        <f t="shared" ref="AA102:AA107" si="14">IF(AND(EvalPower(E102:G102)=EvalPower(H102:Q102), EvalPower(P102)=EvalPower(U102:W102)), "", IF(AND(EvalPower(E102:G102)&lt;&gt;EvalPower(H102:Q102), EvalPower(P102)&lt;&gt;EvalPower(U102:W102)), "NG Total and Power total both mistake", IF(EvalPower(E102:G102)&lt;&gt;EvalPower(H102:Q102), "TOTAL ERROR", "POWER CUT ERROR!")))</f>
        <v/>
      </c>
    </row>
    <row r="103" spans="1:27" ht="21.75" customHeight="1">
      <c r="A103" s="12"/>
      <c r="B103" s="14"/>
      <c r="C103" s="12"/>
      <c r="D103" s="12"/>
      <c r="E103" s="27"/>
      <c r="F103" s="27"/>
      <c r="G103" s="27"/>
      <c r="H103" s="13"/>
      <c r="I103" s="13"/>
      <c r="J103" s="12"/>
      <c r="K103" s="13"/>
      <c r="L103" s="13"/>
      <c r="M103" s="13"/>
      <c r="N103" s="13"/>
      <c r="O103" s="13"/>
      <c r="P103" s="12"/>
      <c r="Q103" s="13"/>
      <c r="R103" s="65"/>
      <c r="S103" s="12"/>
      <c r="T103" s="15"/>
      <c r="U103" s="15"/>
      <c r="V103" s="15"/>
      <c r="W103" s="15"/>
      <c r="X103" s="18"/>
      <c r="Y103" s="18"/>
      <c r="Z103" s="18"/>
      <c r="AA103" s="36" t="str">
        <f>IF(AND(EvalPower(E103:G103)=EvalPower(H103:Q103), EvalPower(P103)=EvalPower(U103:W103)), "", IF(AND(EvalPower(E103:G103)&lt;&gt;EvalPower(H103:Q103), EvalPower(P103)&lt;&gt;EvalPower(U103:W103)), "NG Total and Power total both mistake", IF(EvalPower(E103:G103)&lt;&gt;EvalPower(H103:Q103), "TOTAL ERROR", "POWER CUT ERROR!")))</f>
        <v/>
      </c>
    </row>
    <row r="104" spans="1:27" ht="20.100000000000001" customHeight="1">
      <c r="A104" s="12"/>
      <c r="B104" s="14"/>
      <c r="C104" s="12"/>
      <c r="D104" s="12"/>
      <c r="E104" s="27"/>
      <c r="F104" s="27"/>
      <c r="G104" s="27"/>
      <c r="H104" s="13"/>
      <c r="I104" s="13"/>
      <c r="J104" s="12"/>
      <c r="K104" s="13"/>
      <c r="L104" s="13"/>
      <c r="M104" s="13"/>
      <c r="N104" s="13"/>
      <c r="O104" s="13"/>
      <c r="P104" s="12"/>
      <c r="Q104" s="13"/>
      <c r="R104" s="65"/>
      <c r="S104" s="12"/>
      <c r="T104" s="15"/>
      <c r="U104" s="15"/>
      <c r="V104" s="15"/>
      <c r="W104" s="15"/>
      <c r="X104" s="18"/>
      <c r="Y104" s="18"/>
      <c r="Z104" s="18"/>
      <c r="AA104" s="36" t="str">
        <f>IF(AND(EvalPower(E104:G104)=EvalPower(H104:Q104), EvalPower(P104)=EvalPower(U104:W104)), "", IF(AND(EvalPower(E104:G104)&lt;&gt;EvalPower(H104:Q104), EvalPower(P104)&lt;&gt;EvalPower(U104:W104)), "NG Total and Power total both mistake", IF(EvalPower(E104:G104)&lt;&gt;EvalPower(H104:Q104), "TOTAL ERROR", "POWER CUT ERROR!")))</f>
        <v/>
      </c>
    </row>
    <row r="105" spans="1:27" ht="20.100000000000001" customHeight="1">
      <c r="A105" s="12"/>
      <c r="B105" s="14"/>
      <c r="C105" s="12"/>
      <c r="D105" s="12"/>
      <c r="E105" s="27"/>
      <c r="F105" s="27"/>
      <c r="G105" s="27"/>
      <c r="H105" s="13"/>
      <c r="I105" s="13"/>
      <c r="J105" s="12"/>
      <c r="K105" s="13"/>
      <c r="L105" s="13"/>
      <c r="M105" s="13"/>
      <c r="N105" s="13"/>
      <c r="O105" s="13"/>
      <c r="P105" s="12"/>
      <c r="Q105" s="13"/>
      <c r="R105" s="65"/>
      <c r="S105" s="12"/>
      <c r="T105" s="15"/>
      <c r="U105" s="15"/>
      <c r="V105" s="15"/>
      <c r="W105" s="15"/>
      <c r="X105" s="18"/>
      <c r="Y105" s="18"/>
      <c r="Z105" s="18"/>
      <c r="AA105" s="36" t="str">
        <f t="shared" si="14"/>
        <v/>
      </c>
    </row>
    <row r="106" spans="1:27" ht="22.5" customHeight="1">
      <c r="A106" s="12"/>
      <c r="B106" s="14"/>
      <c r="C106" s="12"/>
      <c r="D106" s="12"/>
      <c r="E106" s="27"/>
      <c r="F106" s="27"/>
      <c r="G106" s="27"/>
      <c r="H106" s="13"/>
      <c r="I106" s="13"/>
      <c r="J106" s="12"/>
      <c r="K106" s="13"/>
      <c r="L106" s="13"/>
      <c r="M106" s="13"/>
      <c r="N106" s="13"/>
      <c r="O106" s="13"/>
      <c r="P106" s="12"/>
      <c r="Q106" s="13"/>
      <c r="R106" s="65"/>
      <c r="S106" s="12"/>
      <c r="T106" s="15"/>
      <c r="U106" s="15"/>
      <c r="V106" s="15"/>
      <c r="W106" s="15"/>
      <c r="X106" s="18"/>
      <c r="Y106" s="18"/>
      <c r="Z106" s="18"/>
      <c r="AA106" s="36" t="str">
        <f>IF(AND(EvalPower(E106:G106)=EvalPower(H106:Q106), EvalPower(P106)=EvalPower(U106:W106)), "", IF(AND(EvalPower(E106:G106)&lt;&gt;EvalPower(H106:Q106), EvalPower(P106)&lt;&gt;EvalPower(U106:W106)), "NG Total and Power total both mistake", IF(EvalPower(E106:G106)&lt;&gt;EvalPower(H106:Q106), "TOTAL ERROR", "POWER CUT ERROR!")))</f>
        <v/>
      </c>
    </row>
    <row r="107" spans="1:27" ht="20.100000000000001" customHeight="1">
      <c r="A107" s="12"/>
      <c r="B107" s="14"/>
      <c r="C107" s="12"/>
      <c r="D107" s="12"/>
      <c r="E107" s="27"/>
      <c r="F107" s="27"/>
      <c r="G107" s="27"/>
      <c r="H107" s="13"/>
      <c r="I107" s="13"/>
      <c r="J107" s="12"/>
      <c r="K107" s="13"/>
      <c r="L107" s="13"/>
      <c r="M107" s="13"/>
      <c r="N107" s="13"/>
      <c r="O107" s="13"/>
      <c r="P107" s="12"/>
      <c r="Q107" s="13"/>
      <c r="R107" s="65"/>
      <c r="S107" s="12"/>
      <c r="T107" s="15"/>
      <c r="U107" s="15"/>
      <c r="V107" s="15"/>
      <c r="W107" s="15"/>
      <c r="X107" s="18"/>
      <c r="Y107" s="18"/>
      <c r="Z107" s="18"/>
      <c r="AA107" s="36" t="str">
        <f t="shared" si="14"/>
        <v/>
      </c>
    </row>
    <row r="108" spans="1:27" ht="20.100000000000001" customHeight="1">
      <c r="A108" s="12"/>
      <c r="B108" s="14"/>
      <c r="C108" s="12"/>
      <c r="D108" s="12"/>
      <c r="E108" s="27"/>
      <c r="F108" s="27"/>
      <c r="G108" s="27"/>
      <c r="H108" s="13"/>
      <c r="I108" s="13"/>
      <c r="J108" s="12"/>
      <c r="K108" s="13"/>
      <c r="L108" s="13"/>
      <c r="M108" s="13"/>
      <c r="N108" s="13"/>
      <c r="O108" s="13"/>
      <c r="P108" s="12"/>
      <c r="Q108" s="13"/>
      <c r="R108" s="65"/>
      <c r="S108" s="12"/>
      <c r="T108" s="15"/>
      <c r="U108" s="15"/>
      <c r="V108" s="15"/>
      <c r="W108" s="15"/>
      <c r="X108" s="18"/>
      <c r="Y108" s="18"/>
      <c r="Z108" s="18"/>
      <c r="AA108" s="36" t="str">
        <f t="shared" ref="AA108:AA111" si="15">IF(AND(EvalPower(E108:G108)=EvalPower(H108:Q108), EvalPower(P108)=EvalPower(U108:W108)), "", IF(AND(EvalPower(E108:G108)&lt;&gt;EvalPower(H108:Q108), EvalPower(P108)&lt;&gt;EvalPower(U108:W108)), "NG Total and Power total both mistake", IF(EvalPower(E108:G108)&lt;&gt;EvalPower(H108:Q108), "TOTAL ERROR", "POWER CUT ERROR!")))</f>
        <v/>
      </c>
    </row>
    <row r="109" spans="1:27" ht="22.5" customHeight="1">
      <c r="A109" s="12"/>
      <c r="B109" s="14"/>
      <c r="C109" s="12"/>
      <c r="D109" s="12"/>
      <c r="E109" s="27"/>
      <c r="F109" s="27"/>
      <c r="G109" s="27"/>
      <c r="H109" s="13"/>
      <c r="I109" s="13"/>
      <c r="J109" s="12"/>
      <c r="K109" s="13"/>
      <c r="L109" s="13"/>
      <c r="M109" s="13"/>
      <c r="N109" s="13"/>
      <c r="O109" s="13"/>
      <c r="P109" s="12"/>
      <c r="Q109" s="13"/>
      <c r="R109" s="65"/>
      <c r="S109" s="12"/>
      <c r="T109" s="15"/>
      <c r="U109" s="15"/>
      <c r="V109" s="15"/>
      <c r="W109" s="15"/>
      <c r="X109" s="18"/>
      <c r="Y109" s="18"/>
      <c r="Z109" s="18"/>
      <c r="AA109" s="36" t="str">
        <f>IF(AND(EvalPower(E109:G109)=EvalPower(H109:Q109), EvalPower(P109)=EvalPower(U109:W109)), "", IF(AND(EvalPower(E109:G109)&lt;&gt;EvalPower(H109:Q109), EvalPower(P109)&lt;&gt;EvalPower(U109:W109)), "NG Total and Power total both mistake", IF(EvalPower(E109:G109)&lt;&gt;EvalPower(H109:Q109), "TOTAL ERROR", "POWER CUT ERROR!")))</f>
        <v/>
      </c>
    </row>
    <row r="110" spans="1:27" ht="20.100000000000001" customHeight="1">
      <c r="A110" s="12"/>
      <c r="B110" s="14"/>
      <c r="C110" s="12"/>
      <c r="D110" s="12"/>
      <c r="E110" s="27"/>
      <c r="F110" s="27"/>
      <c r="G110" s="27"/>
      <c r="H110" s="13"/>
      <c r="I110" s="13"/>
      <c r="J110" s="12"/>
      <c r="K110" s="13"/>
      <c r="L110" s="13"/>
      <c r="M110" s="13"/>
      <c r="N110" s="13"/>
      <c r="O110" s="13"/>
      <c r="P110" s="12"/>
      <c r="Q110" s="13"/>
      <c r="R110" s="65"/>
      <c r="S110" s="12"/>
      <c r="T110" s="15"/>
      <c r="U110" s="15"/>
      <c r="V110" s="15"/>
      <c r="W110" s="15"/>
      <c r="X110" s="18"/>
      <c r="Y110" s="18"/>
      <c r="Z110" s="18"/>
      <c r="AA110" s="36" t="str">
        <f t="shared" si="15"/>
        <v/>
      </c>
    </row>
    <row r="111" spans="1:27" ht="20.100000000000001" customHeight="1">
      <c r="A111" s="12"/>
      <c r="B111" s="14"/>
      <c r="C111" s="12"/>
      <c r="D111" s="12"/>
      <c r="E111" s="27"/>
      <c r="F111" s="27"/>
      <c r="G111" s="27"/>
      <c r="H111" s="13"/>
      <c r="I111" s="13"/>
      <c r="J111" s="12"/>
      <c r="K111" s="13"/>
      <c r="L111" s="13"/>
      <c r="M111" s="13"/>
      <c r="N111" s="13"/>
      <c r="O111" s="13"/>
      <c r="P111" s="12"/>
      <c r="Q111" s="13"/>
      <c r="R111" s="65"/>
      <c r="S111" s="12"/>
      <c r="T111" s="15"/>
      <c r="U111" s="15"/>
      <c r="V111" s="15"/>
      <c r="W111" s="15"/>
      <c r="X111" s="18"/>
      <c r="Y111" s="18"/>
      <c r="Z111" s="18"/>
      <c r="AA111" s="36" t="str">
        <f t="shared" si="15"/>
        <v/>
      </c>
    </row>
    <row r="112" spans="1:27" ht="20.100000000000001" customHeight="1">
      <c r="A112" s="39"/>
      <c r="B112" s="60"/>
      <c r="C112" s="39"/>
      <c r="D112" s="39"/>
      <c r="E112" s="27"/>
      <c r="F112" s="27"/>
      <c r="G112" s="27"/>
      <c r="H112" s="62"/>
      <c r="I112" s="62"/>
      <c r="J112" s="39"/>
      <c r="K112" s="62"/>
      <c r="L112" s="62"/>
      <c r="M112" s="62"/>
      <c r="N112" s="62"/>
      <c r="O112" s="62"/>
      <c r="P112" s="39"/>
      <c r="Q112" s="62"/>
      <c r="R112" s="47"/>
      <c r="S112" s="39"/>
      <c r="T112" s="46"/>
      <c r="U112" s="46"/>
      <c r="V112" s="46"/>
      <c r="W112" s="46"/>
      <c r="X112" s="61"/>
      <c r="Y112" s="61"/>
      <c r="Z112" s="61"/>
    </row>
    <row r="113" spans="5:27" customFormat="1" ht="20.100000000000001" customHeight="1">
      <c r="E113" s="27"/>
      <c r="F113" s="27"/>
      <c r="G113" s="27"/>
      <c r="R113" s="76"/>
      <c r="AA113" t="str">
        <f t="shared" ref="AA113:AA144" si="16">IF(AND(EvalPower(E113:G113)=EvalPower(H113:Q113), EvalPower(P113)=EvalPower(U113:W113)), "", IF(AND(EvalPower(E113:G113)&lt;&gt;EvalPower(H113:Q113), EvalPower(P113)&lt;&gt;EvalPower(U113:W113)), "NG Total and Power total both mistake", IF(EvalPower(E113:G113)&lt;&gt;EvalPower(H113:Q113), "TOTAL ERROR", "POWER CUT ERROR!")))</f>
        <v/>
      </c>
    </row>
    <row r="114" spans="5:27" customFormat="1" ht="20.100000000000001" customHeight="1">
      <c r="E114" s="27"/>
      <c r="F114" s="27"/>
      <c r="G114" s="27"/>
      <c r="R114" s="76"/>
      <c r="AA114" t="str">
        <f t="shared" si="16"/>
        <v/>
      </c>
    </row>
    <row r="115" spans="5:27" customFormat="1" ht="20.100000000000001" customHeight="1">
      <c r="E115" s="27"/>
      <c r="F115" s="27"/>
      <c r="G115" s="27"/>
      <c r="R115" s="76"/>
      <c r="AA115" t="str">
        <f t="shared" si="16"/>
        <v/>
      </c>
    </row>
    <row r="116" spans="5:27" customFormat="1" ht="20.100000000000001" customHeight="1">
      <c r="E116" s="27"/>
      <c r="F116" s="27"/>
      <c r="G116" s="27"/>
      <c r="R116" s="76"/>
      <c r="AA116" t="str">
        <f t="shared" si="16"/>
        <v/>
      </c>
    </row>
    <row r="117" spans="5:27" customFormat="1" ht="20.100000000000001" customHeight="1">
      <c r="E117" s="27"/>
      <c r="F117" s="27"/>
      <c r="G117" s="27"/>
      <c r="R117" s="76"/>
      <c r="AA117" t="str">
        <f t="shared" si="16"/>
        <v/>
      </c>
    </row>
    <row r="118" spans="5:27" customFormat="1" ht="20.100000000000001" customHeight="1">
      <c r="E118" s="27"/>
      <c r="F118" s="27"/>
      <c r="G118" s="27"/>
      <c r="R118" s="76"/>
      <c r="AA118" t="str">
        <f t="shared" si="16"/>
        <v/>
      </c>
    </row>
    <row r="119" spans="5:27" customFormat="1" ht="20.100000000000001" customHeight="1">
      <c r="E119" s="27"/>
      <c r="F119" s="27"/>
      <c r="G119" s="27"/>
      <c r="R119" s="76"/>
      <c r="AA119" t="str">
        <f t="shared" si="16"/>
        <v/>
      </c>
    </row>
    <row r="120" spans="5:27" customFormat="1" ht="22.5" customHeight="1">
      <c r="E120" s="27"/>
      <c r="F120" s="27"/>
      <c r="G120" s="27"/>
      <c r="R120" s="76"/>
      <c r="AA120" t="str">
        <f t="shared" si="16"/>
        <v/>
      </c>
    </row>
    <row r="121" spans="5:27" customFormat="1" ht="22.5" customHeight="1">
      <c r="E121" s="27"/>
      <c r="F121" s="27"/>
      <c r="G121" s="27"/>
      <c r="R121" s="76"/>
      <c r="AA121" t="str">
        <f t="shared" si="16"/>
        <v/>
      </c>
    </row>
    <row r="122" spans="5:27" customFormat="1" ht="20.100000000000001" customHeight="1">
      <c r="E122" s="27"/>
      <c r="F122" s="27"/>
      <c r="G122" s="27"/>
      <c r="R122" s="76"/>
      <c r="AA122" t="str">
        <f t="shared" si="16"/>
        <v/>
      </c>
    </row>
    <row r="123" spans="5:27" customFormat="1" ht="20.100000000000001" customHeight="1">
      <c r="E123" s="27"/>
      <c r="F123" s="27"/>
      <c r="G123" s="27"/>
      <c r="R123" s="76"/>
      <c r="AA123" t="str">
        <f t="shared" si="16"/>
        <v/>
      </c>
    </row>
    <row r="124" spans="5:27" customFormat="1" ht="20.100000000000001" customHeight="1">
      <c r="E124" s="27"/>
      <c r="F124" s="27"/>
      <c r="G124" s="27"/>
      <c r="R124" s="76"/>
      <c r="AA124" t="str">
        <f t="shared" si="16"/>
        <v/>
      </c>
    </row>
    <row r="125" spans="5:27" customFormat="1" ht="20.100000000000001" customHeight="1">
      <c r="E125" s="27"/>
      <c r="F125" s="27"/>
      <c r="G125" s="27"/>
      <c r="R125" s="76"/>
      <c r="AA125" t="str">
        <f t="shared" si="16"/>
        <v/>
      </c>
    </row>
    <row r="126" spans="5:27" customFormat="1" ht="20.100000000000001" customHeight="1">
      <c r="E126" s="27"/>
      <c r="F126" s="27"/>
      <c r="G126" s="27"/>
      <c r="R126" s="76"/>
      <c r="AA126" t="str">
        <f t="shared" si="16"/>
        <v/>
      </c>
    </row>
    <row r="127" spans="5:27" customFormat="1" ht="20.100000000000001" customHeight="1">
      <c r="E127" s="27"/>
      <c r="F127" s="27"/>
      <c r="G127" s="27"/>
      <c r="R127" s="76"/>
      <c r="AA127" t="str">
        <f t="shared" si="16"/>
        <v/>
      </c>
    </row>
    <row r="128" spans="5:27" customFormat="1" ht="20.100000000000001" customHeight="1">
      <c r="E128" s="27"/>
      <c r="F128" s="27"/>
      <c r="G128" s="27"/>
      <c r="R128" s="76"/>
      <c r="AA128" t="str">
        <f t="shared" si="16"/>
        <v/>
      </c>
    </row>
    <row r="129" spans="5:27" customFormat="1" ht="20.100000000000001" customHeight="1">
      <c r="E129" s="27"/>
      <c r="F129" s="27"/>
      <c r="G129" s="27"/>
      <c r="R129" s="76"/>
      <c r="AA129" t="str">
        <f t="shared" si="16"/>
        <v/>
      </c>
    </row>
    <row r="130" spans="5:27" customFormat="1" ht="20.100000000000001" customHeight="1">
      <c r="E130" s="27"/>
      <c r="F130" s="27"/>
      <c r="G130" s="27"/>
      <c r="R130" s="76"/>
      <c r="AA130" t="str">
        <f t="shared" si="16"/>
        <v/>
      </c>
    </row>
    <row r="131" spans="5:27" customFormat="1" ht="20.100000000000001" customHeight="1">
      <c r="E131" s="27"/>
      <c r="F131" s="27"/>
      <c r="G131" s="27"/>
      <c r="R131" s="76"/>
      <c r="AA131" t="str">
        <f t="shared" si="16"/>
        <v/>
      </c>
    </row>
    <row r="132" spans="5:27" customFormat="1" ht="20.100000000000001" customHeight="1">
      <c r="E132" s="27"/>
      <c r="F132" s="27"/>
      <c r="G132" s="27"/>
      <c r="R132" s="76"/>
      <c r="AA132" t="str">
        <f t="shared" si="16"/>
        <v/>
      </c>
    </row>
    <row r="133" spans="5:27" customFormat="1" ht="20.100000000000001" customHeight="1">
      <c r="E133" s="27"/>
      <c r="F133" s="27"/>
      <c r="G133" s="27"/>
      <c r="R133" s="76"/>
      <c r="AA133" t="str">
        <f t="shared" si="16"/>
        <v/>
      </c>
    </row>
    <row r="134" spans="5:27" customFormat="1" ht="20.100000000000001" customHeight="1">
      <c r="E134" s="27"/>
      <c r="F134" s="27"/>
      <c r="G134" s="27"/>
      <c r="R134" s="76"/>
      <c r="AA134" t="str">
        <f t="shared" si="16"/>
        <v/>
      </c>
    </row>
    <row r="135" spans="5:27" customFormat="1" ht="20.100000000000001" customHeight="1">
      <c r="E135" s="27"/>
      <c r="F135" s="27"/>
      <c r="G135" s="27"/>
      <c r="R135" s="76"/>
      <c r="AA135" t="str">
        <f t="shared" si="16"/>
        <v/>
      </c>
    </row>
    <row r="136" spans="5:27" customFormat="1" ht="20.100000000000001" customHeight="1">
      <c r="E136" s="27"/>
      <c r="F136" s="27"/>
      <c r="G136" s="27"/>
      <c r="R136" s="76"/>
      <c r="AA136" t="str">
        <f t="shared" si="16"/>
        <v/>
      </c>
    </row>
    <row r="137" spans="5:27" customFormat="1" ht="20.100000000000001" customHeight="1">
      <c r="E137" s="27"/>
      <c r="F137" s="27"/>
      <c r="G137" s="27"/>
      <c r="R137" s="76"/>
      <c r="AA137" t="str">
        <f t="shared" si="16"/>
        <v/>
      </c>
    </row>
    <row r="138" spans="5:27" customFormat="1" ht="20.100000000000001" customHeight="1">
      <c r="E138" s="27"/>
      <c r="F138" s="27"/>
      <c r="G138" s="27"/>
      <c r="R138" s="76"/>
      <c r="AA138" t="str">
        <f t="shared" si="16"/>
        <v/>
      </c>
    </row>
    <row r="139" spans="5:27" customFormat="1" ht="20.100000000000001" customHeight="1">
      <c r="E139" s="27"/>
      <c r="F139" s="27"/>
      <c r="G139" s="27"/>
      <c r="R139" s="76"/>
      <c r="AA139" t="str">
        <f t="shared" si="16"/>
        <v/>
      </c>
    </row>
    <row r="140" spans="5:27" customFormat="1" ht="20.100000000000001" customHeight="1">
      <c r="E140" s="27"/>
      <c r="F140" s="27"/>
      <c r="G140" s="27"/>
      <c r="R140" s="76"/>
      <c r="AA140" t="str">
        <f t="shared" si="16"/>
        <v/>
      </c>
    </row>
    <row r="141" spans="5:27" customFormat="1" ht="20.100000000000001" customHeight="1">
      <c r="E141" s="27"/>
      <c r="F141" s="27"/>
      <c r="G141" s="27"/>
      <c r="R141" s="76"/>
      <c r="AA141" t="str">
        <f t="shared" si="16"/>
        <v/>
      </c>
    </row>
    <row r="142" spans="5:27" customFormat="1" ht="20.100000000000001" customHeight="1">
      <c r="E142" s="27"/>
      <c r="F142" s="27"/>
      <c r="G142" s="27"/>
      <c r="R142" s="76"/>
      <c r="AA142" t="str">
        <f t="shared" si="16"/>
        <v/>
      </c>
    </row>
    <row r="143" spans="5:27" customFormat="1" ht="20.100000000000001" customHeight="1">
      <c r="E143" s="27"/>
      <c r="F143" s="27"/>
      <c r="G143" s="27"/>
      <c r="R143" s="76"/>
      <c r="AA143" t="str">
        <f t="shared" si="16"/>
        <v/>
      </c>
    </row>
    <row r="144" spans="5:27" customFormat="1" ht="20.100000000000001" customHeight="1">
      <c r="E144" s="27"/>
      <c r="F144" s="27"/>
      <c r="G144" s="27"/>
      <c r="R144" s="76"/>
      <c r="AA144" t="str">
        <f t="shared" si="16"/>
        <v/>
      </c>
    </row>
    <row r="145" spans="5:27" customFormat="1" ht="20.100000000000001" customHeight="1">
      <c r="E145" s="27"/>
      <c r="F145" s="27"/>
      <c r="G145" s="27"/>
      <c r="R145" s="76"/>
      <c r="AA145" t="str">
        <f t="shared" ref="AA145:AA166" si="17">IF(AND(EvalPower(E145:G145)=EvalPower(H145:Q145), EvalPower(P145)=EvalPower(U145:W145)), "", IF(AND(EvalPower(E145:G145)&lt;&gt;EvalPower(H145:Q145), EvalPower(P145)&lt;&gt;EvalPower(U145:W145)), "NG Total and Power total both mistake", IF(EvalPower(E145:G145)&lt;&gt;EvalPower(H145:Q145), "TOTAL ERROR", "POWER CUT ERROR!")))</f>
        <v/>
      </c>
    </row>
    <row r="146" spans="5:27" customFormat="1" ht="20.100000000000001" customHeight="1">
      <c r="E146" s="27"/>
      <c r="F146" s="27"/>
      <c r="G146" s="27"/>
      <c r="R146" s="76"/>
      <c r="AA146" t="str">
        <f t="shared" si="17"/>
        <v/>
      </c>
    </row>
    <row r="147" spans="5:27" customFormat="1" ht="20.100000000000001" customHeight="1">
      <c r="E147" s="27"/>
      <c r="F147" s="27"/>
      <c r="G147" s="27"/>
      <c r="R147" s="76"/>
      <c r="AA147" t="str">
        <f t="shared" si="17"/>
        <v/>
      </c>
    </row>
    <row r="148" spans="5:27" customFormat="1" ht="20.100000000000001" customHeight="1">
      <c r="E148" s="27"/>
      <c r="F148" s="27"/>
      <c r="G148" s="27"/>
      <c r="R148" s="76"/>
      <c r="AA148" t="str">
        <f t="shared" si="17"/>
        <v/>
      </c>
    </row>
    <row r="149" spans="5:27" customFormat="1" ht="20.100000000000001" customHeight="1">
      <c r="E149" s="27"/>
      <c r="F149" s="27"/>
      <c r="G149" s="27"/>
      <c r="R149" s="76"/>
      <c r="AA149" t="str">
        <f t="shared" si="17"/>
        <v/>
      </c>
    </row>
    <row r="150" spans="5:27" customFormat="1" ht="20.100000000000001" customHeight="1">
      <c r="E150" s="27"/>
      <c r="F150" s="27"/>
      <c r="G150" s="27"/>
      <c r="R150" s="76"/>
      <c r="AA150" t="str">
        <f t="shared" si="17"/>
        <v/>
      </c>
    </row>
    <row r="151" spans="5:27" customFormat="1" ht="20.100000000000001" customHeight="1">
      <c r="E151" s="27"/>
      <c r="F151" s="27"/>
      <c r="G151" s="27"/>
      <c r="R151" s="76"/>
      <c r="AA151" t="str">
        <f t="shared" si="17"/>
        <v/>
      </c>
    </row>
    <row r="152" spans="5:27" customFormat="1" ht="20.100000000000001" customHeight="1">
      <c r="E152" s="27"/>
      <c r="F152" s="27"/>
      <c r="G152" s="27"/>
      <c r="R152" s="76"/>
      <c r="AA152" t="str">
        <f t="shared" si="17"/>
        <v/>
      </c>
    </row>
    <row r="153" spans="5:27" customFormat="1" ht="20.100000000000001" customHeight="1">
      <c r="E153" s="27"/>
      <c r="F153" s="27"/>
      <c r="G153" s="27"/>
      <c r="R153" s="76"/>
      <c r="AA153" t="str">
        <f t="shared" si="17"/>
        <v/>
      </c>
    </row>
    <row r="154" spans="5:27" customFormat="1" ht="20.100000000000001" customHeight="1">
      <c r="E154" s="27"/>
      <c r="F154" s="27"/>
      <c r="G154" s="27"/>
      <c r="R154" s="76"/>
      <c r="AA154" t="str">
        <f t="shared" si="17"/>
        <v/>
      </c>
    </row>
    <row r="155" spans="5:27" customFormat="1" ht="20.100000000000001" customHeight="1">
      <c r="E155" s="27"/>
      <c r="F155" s="27"/>
      <c r="G155" s="27"/>
      <c r="R155" s="76"/>
      <c r="AA155" t="str">
        <f t="shared" si="17"/>
        <v/>
      </c>
    </row>
    <row r="156" spans="5:27" customFormat="1" ht="20.100000000000001" customHeight="1">
      <c r="E156" s="27"/>
      <c r="F156" s="27"/>
      <c r="G156" s="27"/>
      <c r="R156" s="76"/>
      <c r="AA156" t="str">
        <f t="shared" si="17"/>
        <v/>
      </c>
    </row>
    <row r="157" spans="5:27" customFormat="1" ht="20.100000000000001" customHeight="1">
      <c r="E157" s="27"/>
      <c r="F157" s="27"/>
      <c r="G157" s="27"/>
      <c r="R157" s="76"/>
      <c r="AA157" t="str">
        <f t="shared" si="17"/>
        <v/>
      </c>
    </row>
    <row r="158" spans="5:27" customFormat="1" ht="20.100000000000001" customHeight="1">
      <c r="E158" s="27"/>
      <c r="F158" s="27"/>
      <c r="G158" s="27"/>
      <c r="R158" s="76"/>
      <c r="AA158" t="str">
        <f t="shared" si="17"/>
        <v/>
      </c>
    </row>
    <row r="159" spans="5:27" customFormat="1" ht="20.100000000000001" customHeight="1">
      <c r="E159" s="27"/>
      <c r="F159" s="27"/>
      <c r="G159" s="27"/>
      <c r="R159" s="76"/>
      <c r="AA159" t="str">
        <f t="shared" si="17"/>
        <v/>
      </c>
    </row>
    <row r="160" spans="5:27" customFormat="1" ht="20.100000000000001" customHeight="1">
      <c r="E160" s="27"/>
      <c r="F160" s="27"/>
      <c r="G160" s="27"/>
      <c r="R160" s="76"/>
      <c r="AA160" t="str">
        <f t="shared" si="17"/>
        <v/>
      </c>
    </row>
    <row r="161" spans="5:27" customFormat="1" ht="20.100000000000001" customHeight="1">
      <c r="E161" s="27"/>
      <c r="F161" s="27"/>
      <c r="G161" s="27"/>
      <c r="R161" s="76"/>
      <c r="AA161" t="str">
        <f t="shared" si="17"/>
        <v/>
      </c>
    </row>
    <row r="162" spans="5:27" customFormat="1" ht="20.100000000000001" customHeight="1">
      <c r="E162" s="27"/>
      <c r="F162" s="27"/>
      <c r="G162" s="27"/>
      <c r="R162" s="76"/>
      <c r="AA162" t="str">
        <f t="shared" si="17"/>
        <v/>
      </c>
    </row>
    <row r="163" spans="5:27" customFormat="1" ht="20.100000000000001" customHeight="1">
      <c r="E163" s="27"/>
      <c r="F163" s="27"/>
      <c r="G163" s="27"/>
      <c r="R163" s="76"/>
      <c r="AA163" t="str">
        <f t="shared" si="17"/>
        <v/>
      </c>
    </row>
    <row r="164" spans="5:27" customFormat="1" ht="20.100000000000001" customHeight="1">
      <c r="E164" s="27"/>
      <c r="F164" s="27"/>
      <c r="G164" s="27"/>
      <c r="R164" s="76"/>
      <c r="AA164" t="str">
        <f t="shared" si="17"/>
        <v/>
      </c>
    </row>
    <row r="165" spans="5:27" customFormat="1" ht="20.100000000000001" customHeight="1">
      <c r="E165" s="27"/>
      <c r="F165" s="27"/>
      <c r="G165" s="27"/>
      <c r="R165" s="76"/>
      <c r="AA165" t="str">
        <f t="shared" si="17"/>
        <v/>
      </c>
    </row>
    <row r="166" spans="5:27" customFormat="1" ht="20.100000000000001" customHeight="1">
      <c r="E166" s="27"/>
      <c r="F166" s="27"/>
      <c r="G166" s="27"/>
      <c r="R166" s="76"/>
      <c r="AA166" t="str">
        <f t="shared" si="17"/>
        <v/>
      </c>
    </row>
    <row r="167" spans="5:27" customFormat="1" ht="20.100000000000001" customHeight="1">
      <c r="R167" s="76"/>
    </row>
    <row r="168" spans="5:27" customFormat="1" ht="20.100000000000001" customHeight="1">
      <c r="R168" s="76"/>
    </row>
    <row r="169" spans="5:27" customFormat="1" ht="20.100000000000001" customHeight="1">
      <c r="R169" s="76"/>
    </row>
    <row r="170" spans="5:27" customFormat="1" ht="20.100000000000001" customHeight="1">
      <c r="R170" s="76"/>
    </row>
    <row r="171" spans="5:27" customFormat="1" ht="20.100000000000001" customHeight="1">
      <c r="R171" s="76"/>
    </row>
    <row r="172" spans="5:27" customFormat="1" ht="20.100000000000001" customHeight="1">
      <c r="R172" s="76"/>
    </row>
    <row r="173" spans="5:27" customFormat="1" ht="20.100000000000001" customHeight="1">
      <c r="R173" s="76"/>
    </row>
    <row r="174" spans="5:27" customFormat="1" ht="20.100000000000001" customHeight="1">
      <c r="R174" s="76"/>
    </row>
    <row r="175" spans="5:27" customFormat="1" ht="20.100000000000001" customHeight="1">
      <c r="R175" s="76"/>
    </row>
    <row r="176" spans="5:27" customFormat="1" ht="32.25" customHeight="1">
      <c r="R176" s="76"/>
    </row>
    <row r="177" spans="18:18" customFormat="1" ht="20.100000000000001" customHeight="1">
      <c r="R177" s="76"/>
    </row>
    <row r="178" spans="18:18" customFormat="1" ht="20.100000000000001" customHeight="1">
      <c r="R178" s="76"/>
    </row>
    <row r="179" spans="18:18" customFormat="1" ht="20.100000000000001" customHeight="1">
      <c r="R179" s="76"/>
    </row>
    <row r="180" spans="18:18" customFormat="1" ht="20.100000000000001" customHeight="1">
      <c r="R180" s="76"/>
    </row>
    <row r="181" spans="18:18" customFormat="1" ht="20.100000000000001" customHeight="1">
      <c r="R181" s="76"/>
    </row>
    <row r="182" spans="18:18" customFormat="1" ht="20.100000000000001" customHeight="1">
      <c r="R182" s="76"/>
    </row>
    <row r="183" spans="18:18" customFormat="1" ht="20.100000000000001" customHeight="1">
      <c r="R183" s="76"/>
    </row>
    <row r="184" spans="18:18" customFormat="1" ht="20.100000000000001" customHeight="1">
      <c r="R184" s="76"/>
    </row>
    <row r="185" spans="18:18" customFormat="1" ht="20.100000000000001" customHeight="1">
      <c r="R185" s="76"/>
    </row>
    <row r="186" spans="18:18" customFormat="1" ht="20.100000000000001" customHeight="1">
      <c r="R186" s="76"/>
    </row>
    <row r="187" spans="18:18" customFormat="1" ht="20.100000000000001" customHeight="1">
      <c r="R187" s="76"/>
    </row>
    <row r="188" spans="18:18" customFormat="1" ht="20.100000000000001" customHeight="1">
      <c r="R188" s="76"/>
    </row>
    <row r="189" spans="18:18" customFormat="1" ht="20.100000000000001" customHeight="1">
      <c r="R189" s="76"/>
    </row>
    <row r="190" spans="18:18" customFormat="1" ht="20.100000000000001" customHeight="1">
      <c r="R190" s="76"/>
    </row>
    <row r="191" spans="18:18" customFormat="1" ht="20.100000000000001" customHeight="1">
      <c r="R191" s="76"/>
    </row>
    <row r="192" spans="18:18" customFormat="1" ht="20.100000000000001" customHeight="1">
      <c r="R192" s="76"/>
    </row>
    <row r="193" spans="18:18" customFormat="1" ht="20.100000000000001" customHeight="1">
      <c r="R193" s="76"/>
    </row>
    <row r="194" spans="18:18" customFormat="1" ht="20.100000000000001" customHeight="1">
      <c r="R194" s="76"/>
    </row>
    <row r="195" spans="18:18" customFormat="1" ht="20.100000000000001" customHeight="1">
      <c r="R195" s="76"/>
    </row>
    <row r="196" spans="18:18" customFormat="1" ht="20.100000000000001" customHeight="1">
      <c r="R196" s="76"/>
    </row>
    <row r="197" spans="18:18" customFormat="1" ht="20.100000000000001" customHeight="1">
      <c r="R197" s="76"/>
    </row>
    <row r="198" spans="18:18" customFormat="1" ht="20.100000000000001" customHeight="1">
      <c r="R198" s="76"/>
    </row>
    <row r="199" spans="18:18" customFormat="1" ht="20.100000000000001" customHeight="1">
      <c r="R199" s="76"/>
    </row>
    <row r="200" spans="18:18" customFormat="1" ht="20.100000000000001" customHeight="1">
      <c r="R200" s="76"/>
    </row>
    <row r="201" spans="18:18" customFormat="1" ht="20.100000000000001" customHeight="1">
      <c r="R201" s="76"/>
    </row>
    <row r="202" spans="18:18" customFormat="1" ht="20.100000000000001" customHeight="1">
      <c r="R202" s="76"/>
    </row>
    <row r="203" spans="18:18" customFormat="1" ht="20.100000000000001" customHeight="1">
      <c r="R203" s="76"/>
    </row>
    <row r="204" spans="18:18" customFormat="1" ht="20.100000000000001" customHeight="1">
      <c r="R204" s="76"/>
    </row>
    <row r="205" spans="18:18" customFormat="1" ht="20.100000000000001" customHeight="1">
      <c r="R205" s="76"/>
    </row>
    <row r="206" spans="18:18" customFormat="1" ht="20.100000000000001" customHeight="1">
      <c r="R206" s="76"/>
    </row>
    <row r="207" spans="18:18" customFormat="1" ht="20.100000000000001" customHeight="1">
      <c r="R207" s="76"/>
    </row>
    <row r="208" spans="18:18" customFormat="1" ht="20.100000000000001" customHeight="1">
      <c r="R208" s="76"/>
    </row>
    <row r="209" spans="18:18" customFormat="1" ht="20.100000000000001" customHeight="1">
      <c r="R209" s="76"/>
    </row>
    <row r="210" spans="18:18" customFormat="1" ht="20.100000000000001" customHeight="1">
      <c r="R210" s="76"/>
    </row>
    <row r="211" spans="18:18" customFormat="1" ht="20.100000000000001" customHeight="1">
      <c r="R211" s="76"/>
    </row>
    <row r="212" spans="18:18" customFormat="1" ht="20.100000000000001" customHeight="1">
      <c r="R212" s="76"/>
    </row>
    <row r="213" spans="18:18" customFormat="1" ht="20.100000000000001" customHeight="1">
      <c r="R213" s="76"/>
    </row>
    <row r="214" spans="18:18" customFormat="1" ht="20.100000000000001" customHeight="1">
      <c r="R214" s="76"/>
    </row>
    <row r="215" spans="18:18" customFormat="1" ht="20.100000000000001" customHeight="1">
      <c r="R215" s="76"/>
    </row>
    <row r="216" spans="18:18" customFormat="1" ht="20.100000000000001" customHeight="1">
      <c r="R216" s="76"/>
    </row>
    <row r="217" spans="18:18" customFormat="1" ht="20.100000000000001" customHeight="1">
      <c r="R217" s="76"/>
    </row>
    <row r="218" spans="18:18" customFormat="1" ht="20.100000000000001" customHeight="1">
      <c r="R218" s="76"/>
    </row>
    <row r="219" spans="18:18" customFormat="1" ht="20.100000000000001" customHeight="1">
      <c r="R219" s="76"/>
    </row>
    <row r="220" spans="18:18" customFormat="1" ht="20.100000000000001" customHeight="1">
      <c r="R220" s="76"/>
    </row>
    <row r="221" spans="18:18" customFormat="1" ht="20.100000000000001" customHeight="1">
      <c r="R221" s="76"/>
    </row>
    <row r="222" spans="18:18" customFormat="1" ht="39" customHeight="1">
      <c r="R222" s="76"/>
    </row>
    <row r="223" spans="18:18" customFormat="1" ht="20.100000000000001" customHeight="1">
      <c r="R223" s="76"/>
    </row>
    <row r="224" spans="18:18" customFormat="1" ht="20.100000000000001" customHeight="1">
      <c r="R224" s="76"/>
    </row>
    <row r="225" spans="18:18" customFormat="1" ht="20.100000000000001" customHeight="1">
      <c r="R225" s="76"/>
    </row>
    <row r="226" spans="18:18" customFormat="1" ht="20.100000000000001" customHeight="1">
      <c r="R226" s="76"/>
    </row>
    <row r="227" spans="18:18" customFormat="1" ht="20.100000000000001" customHeight="1">
      <c r="R227" s="76"/>
    </row>
    <row r="228" spans="18:18" customFormat="1" ht="20.100000000000001" customHeight="1">
      <c r="R228" s="76"/>
    </row>
    <row r="229" spans="18:18" customFormat="1" ht="20.100000000000001" customHeight="1">
      <c r="R229" s="76"/>
    </row>
    <row r="230" spans="18:18" customFormat="1" ht="20.100000000000001" customHeight="1">
      <c r="R230" s="76"/>
    </row>
    <row r="231" spans="18:18" customFormat="1" ht="20.100000000000001" customHeight="1">
      <c r="R231" s="76"/>
    </row>
    <row r="232" spans="18:18" customFormat="1" ht="20.100000000000001" customHeight="1">
      <c r="R232" s="76"/>
    </row>
    <row r="233" spans="18:18" customFormat="1" ht="20.100000000000001" customHeight="1">
      <c r="R233" s="76"/>
    </row>
    <row r="234" spans="18:18" customFormat="1" ht="20.100000000000001" customHeight="1">
      <c r="R234" s="76"/>
    </row>
    <row r="235" spans="18:18" customFormat="1" ht="20.100000000000001" customHeight="1">
      <c r="R235" s="76"/>
    </row>
    <row r="236" spans="18:18" customFormat="1" ht="20.100000000000001" customHeight="1">
      <c r="R236" s="76"/>
    </row>
    <row r="237" spans="18:18" customFormat="1" ht="20.100000000000001" customHeight="1">
      <c r="R237" s="76"/>
    </row>
    <row r="238" spans="18:18" customFormat="1" ht="20.100000000000001" customHeight="1">
      <c r="R238" s="76"/>
    </row>
    <row r="239" spans="18:18" customFormat="1" ht="20.100000000000001" customHeight="1">
      <c r="R239" s="76"/>
    </row>
    <row r="240" spans="18:18" customFormat="1" ht="20.100000000000001" customHeight="1">
      <c r="R240" s="76"/>
    </row>
    <row r="241" spans="18:18" customFormat="1" ht="20.100000000000001" customHeight="1">
      <c r="R241" s="76"/>
    </row>
    <row r="242" spans="18:18" customFormat="1" ht="20.100000000000001" customHeight="1">
      <c r="R242" s="76"/>
    </row>
    <row r="243" spans="18:18" customFormat="1" ht="20.100000000000001" customHeight="1">
      <c r="R243" s="76"/>
    </row>
    <row r="244" spans="18:18" customFormat="1" ht="20.100000000000001" customHeight="1">
      <c r="R244" s="76"/>
    </row>
    <row r="245" spans="18:18" customFormat="1" ht="20.100000000000001" customHeight="1">
      <c r="R245" s="76"/>
    </row>
    <row r="246" spans="18:18" customFormat="1" ht="20.100000000000001" customHeight="1">
      <c r="R246" s="76"/>
    </row>
    <row r="247" spans="18:18" customFormat="1" ht="20.100000000000001" customHeight="1">
      <c r="R247" s="76"/>
    </row>
    <row r="248" spans="18:18" customFormat="1" ht="20.100000000000001" customHeight="1">
      <c r="R248" s="76"/>
    </row>
    <row r="249" spans="18:18" customFormat="1" ht="20.100000000000001" customHeight="1">
      <c r="R249" s="76"/>
    </row>
    <row r="250" spans="18:18" customFormat="1" ht="20.100000000000001" customHeight="1">
      <c r="R250" s="76"/>
    </row>
    <row r="251" spans="18:18" customFormat="1" ht="20.100000000000001" customHeight="1">
      <c r="R251" s="76"/>
    </row>
    <row r="252" spans="18:18" customFormat="1" ht="20.100000000000001" customHeight="1">
      <c r="R252" s="76"/>
    </row>
    <row r="253" spans="18:18" customFormat="1" ht="20.100000000000001" customHeight="1">
      <c r="R253" s="76"/>
    </row>
    <row r="254" spans="18:18" customFormat="1" ht="20.100000000000001" customHeight="1">
      <c r="R254" s="76"/>
    </row>
    <row r="255" spans="18:18" customFormat="1" ht="20.100000000000001" customHeight="1">
      <c r="R255" s="76"/>
    </row>
    <row r="256" spans="18:18" customFormat="1" ht="20.100000000000001" customHeight="1">
      <c r="R256" s="76"/>
    </row>
    <row r="257" spans="18:18" customFormat="1" ht="20.100000000000001" customHeight="1">
      <c r="R257" s="76"/>
    </row>
    <row r="258" spans="18:18" customFormat="1" ht="20.100000000000001" customHeight="1">
      <c r="R258" s="76"/>
    </row>
    <row r="259" spans="18:18" customFormat="1" ht="20.100000000000001" customHeight="1">
      <c r="R259" s="76"/>
    </row>
    <row r="260" spans="18:18" customFormat="1" ht="20.100000000000001" customHeight="1">
      <c r="R260" s="76"/>
    </row>
    <row r="261" spans="18:18" customFormat="1" ht="20.100000000000001" customHeight="1">
      <c r="R261" s="76"/>
    </row>
    <row r="262" spans="18:18" customFormat="1" ht="20.100000000000001" customHeight="1">
      <c r="R262" s="76"/>
    </row>
    <row r="263" spans="18:18" customFormat="1" ht="20.100000000000001" customHeight="1">
      <c r="R263" s="76"/>
    </row>
    <row r="264" spans="18:18" customFormat="1" ht="20.100000000000001" customHeight="1">
      <c r="R264" s="76"/>
    </row>
    <row r="265" spans="18:18" customFormat="1" ht="20.100000000000001" customHeight="1">
      <c r="R265" s="76"/>
    </row>
    <row r="266" spans="18:18" customFormat="1" ht="20.100000000000001" customHeight="1">
      <c r="R266" s="76"/>
    </row>
    <row r="267" spans="18:18" customFormat="1" ht="20.100000000000001" customHeight="1">
      <c r="R267" s="76"/>
    </row>
    <row r="268" spans="18:18" customFormat="1" ht="20.100000000000001" customHeight="1">
      <c r="R268" s="76"/>
    </row>
    <row r="269" spans="18:18" customFormat="1" ht="20.100000000000001" customHeight="1">
      <c r="R269" s="76"/>
    </row>
    <row r="270" spans="18:18" customFormat="1" ht="20.100000000000001" customHeight="1">
      <c r="R270" s="76"/>
    </row>
    <row r="271" spans="18:18" customFormat="1" ht="20.100000000000001" customHeight="1">
      <c r="R271" s="76"/>
    </row>
    <row r="272" spans="18:18" customFormat="1" ht="20.100000000000001" customHeight="1">
      <c r="R272" s="76"/>
    </row>
    <row r="273" spans="18:18" customFormat="1" ht="20.100000000000001" customHeight="1">
      <c r="R273" s="76"/>
    </row>
    <row r="274" spans="18:18" customFormat="1" ht="20.100000000000001" customHeight="1">
      <c r="R274" s="76"/>
    </row>
    <row r="275" spans="18:18" customFormat="1" ht="20.100000000000001" customHeight="1">
      <c r="R275" s="76"/>
    </row>
    <row r="276" spans="18:18" customFormat="1" ht="20.100000000000001" customHeight="1">
      <c r="R276" s="76"/>
    </row>
    <row r="277" spans="18:18" customFormat="1" ht="20.100000000000001" customHeight="1">
      <c r="R277" s="76"/>
    </row>
    <row r="278" spans="18:18" customFormat="1" ht="20.100000000000001" customHeight="1">
      <c r="R278" s="76"/>
    </row>
    <row r="279" spans="18:18" customFormat="1" ht="20.100000000000001" customHeight="1">
      <c r="R279" s="76"/>
    </row>
    <row r="280" spans="18:18" customFormat="1" ht="20.100000000000001" customHeight="1">
      <c r="R280" s="76"/>
    </row>
    <row r="281" spans="18:18" customFormat="1" ht="20.100000000000001" customHeight="1">
      <c r="R281" s="76"/>
    </row>
    <row r="282" spans="18:18" customFormat="1" ht="20.100000000000001" customHeight="1">
      <c r="R282" s="76"/>
    </row>
    <row r="283" spans="18:18" customFormat="1" ht="20.100000000000001" customHeight="1">
      <c r="R283" s="76"/>
    </row>
    <row r="284" spans="18:18" customFormat="1" ht="20.100000000000001" customHeight="1">
      <c r="R284" s="76"/>
    </row>
    <row r="285" spans="18:18" customFormat="1" ht="20.100000000000001" customHeight="1">
      <c r="R285" s="76"/>
    </row>
  </sheetData>
  <mergeCells count="68">
    <mergeCell ref="K9:K10"/>
    <mergeCell ref="L9:L10"/>
    <mergeCell ref="N9:N10"/>
    <mergeCell ref="O9:O10"/>
    <mergeCell ref="P9:P10"/>
    <mergeCell ref="A9:D10"/>
    <mergeCell ref="E9:G9"/>
    <mergeCell ref="H7:H8"/>
    <mergeCell ref="I7:I8"/>
    <mergeCell ref="J7:J8"/>
    <mergeCell ref="H9:H10"/>
    <mergeCell ref="I9:I10"/>
    <mergeCell ref="J9:J10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T5:T6"/>
    <mergeCell ref="T7:T8"/>
    <mergeCell ref="T9:T10"/>
    <mergeCell ref="S7:S8"/>
    <mergeCell ref="S5:S6"/>
    <mergeCell ref="S9:S10"/>
    <mergeCell ref="W9:W10"/>
    <mergeCell ref="U9:U10"/>
    <mergeCell ref="V9:V10"/>
    <mergeCell ref="U4:W4"/>
    <mergeCell ref="U5:U6"/>
    <mergeCell ref="V5:V6"/>
    <mergeCell ref="U7:U8"/>
    <mergeCell ref="V7:V8"/>
    <mergeCell ref="W5:W6"/>
    <mergeCell ref="W7:W8"/>
    <mergeCell ref="X9:X10"/>
    <mergeCell ref="Y9:Y10"/>
    <mergeCell ref="Z9:Z10"/>
    <mergeCell ref="X4:Z4"/>
    <mergeCell ref="X5:X6"/>
    <mergeCell ref="Y5:Y6"/>
    <mergeCell ref="Z5:Z6"/>
    <mergeCell ref="X7:X8"/>
    <mergeCell ref="Y7:Y8"/>
    <mergeCell ref="Z7:Z8"/>
  </mergeCells>
  <phoneticPr fontId="12" type="noConversion"/>
  <pageMargins left="0.7" right="0.7" top="0.75" bottom="0.75" header="0.3" footer="0.3"/>
  <pageSetup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161925</xdr:colOff>
                    <xdr:row>1</xdr:row>
                    <xdr:rowOff>0</xdr:rowOff>
                  </from>
                  <to>
                    <xdr:col>28</xdr:col>
                    <xdr:colOff>47625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180975</xdr:colOff>
                    <xdr:row>3</xdr:row>
                    <xdr:rowOff>38100</xdr:rowOff>
                  </from>
                  <to>
                    <xdr:col>28</xdr:col>
                    <xdr:colOff>47625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00"/>
  <sheetViews>
    <sheetView zoomScale="85" zoomScaleNormal="85" workbookViewId="0">
      <selection activeCell="N16" sqref="N16"/>
    </sheetView>
  </sheetViews>
  <sheetFormatPr defaultColWidth="12.125" defaultRowHeight="16.5"/>
  <cols>
    <col min="1" max="1" width="5.125" style="28" bestFit="1" customWidth="1"/>
    <col min="2" max="2" width="6" style="66" bestFit="1" customWidth="1"/>
    <col min="3" max="3" width="7.75" style="28" bestFit="1" customWidth="1"/>
    <col min="4" max="4" width="29.5" style="28" customWidth="1"/>
    <col min="5" max="7" width="5.625" style="32" customWidth="1"/>
    <col min="8" max="17" width="5.625" style="29" customWidth="1"/>
    <col min="18" max="18" width="6.625" style="53" bestFit="1" customWidth="1"/>
    <col min="19" max="19" width="23.125" style="28" customWidth="1"/>
    <col min="20" max="20" width="4.625" style="45" customWidth="1"/>
    <col min="21" max="21" width="11.5" style="53" customWidth="1"/>
    <col min="22" max="23" width="12.125" style="44"/>
    <col min="24" max="16384" width="12.125" style="28"/>
  </cols>
  <sheetData>
    <row r="1" spans="1:23" s="9" customFormat="1" ht="16.5" customHeight="1">
      <c r="E1" s="25"/>
      <c r="F1" s="25"/>
      <c r="G1" s="25"/>
      <c r="R1" s="25"/>
      <c r="T1" s="43"/>
      <c r="U1" s="25"/>
    </row>
    <row r="2" spans="1:23" s="9" customFormat="1" ht="16.5" customHeight="1">
      <c r="E2" s="25"/>
      <c r="F2" s="25"/>
      <c r="G2" s="25"/>
      <c r="R2" s="25"/>
      <c r="T2" s="43"/>
      <c r="U2" s="25"/>
    </row>
    <row r="3" spans="1:23" s="9" customFormat="1" ht="16.5" customHeight="1">
      <c r="E3" s="25"/>
      <c r="F3" s="25"/>
      <c r="G3" s="25"/>
      <c r="R3" s="25"/>
      <c r="T3" s="43"/>
      <c r="U3" s="25"/>
    </row>
    <row r="4" spans="1:23" s="9" customFormat="1" ht="16.5" customHeight="1">
      <c r="E4" s="25"/>
      <c r="F4" s="25"/>
      <c r="G4" s="25"/>
      <c r="R4" s="25"/>
      <c r="T4" s="43"/>
      <c r="U4" s="25"/>
    </row>
    <row r="5" spans="1:23" s="9" customFormat="1" ht="13.5" customHeight="1">
      <c r="A5" s="133" t="s">
        <v>0</v>
      </c>
      <c r="B5" s="133" t="s">
        <v>1</v>
      </c>
      <c r="C5" s="133" t="s">
        <v>2</v>
      </c>
      <c r="D5" s="133" t="s">
        <v>22</v>
      </c>
      <c r="E5" s="149" t="s">
        <v>4</v>
      </c>
      <c r="F5" s="150"/>
      <c r="G5" s="151"/>
      <c r="H5" s="133" t="s">
        <v>5</v>
      </c>
      <c r="I5" s="133" t="s">
        <v>6</v>
      </c>
      <c r="J5" s="133" t="s">
        <v>7</v>
      </c>
      <c r="K5" s="133" t="s">
        <v>8</v>
      </c>
      <c r="L5" s="133" t="s">
        <v>9</v>
      </c>
      <c r="M5" s="133" t="s">
        <v>10</v>
      </c>
      <c r="N5" s="133" t="s">
        <v>11</v>
      </c>
      <c r="O5" s="133" t="s">
        <v>12</v>
      </c>
      <c r="P5" s="133" t="s">
        <v>13</v>
      </c>
      <c r="Q5" s="133" t="s">
        <v>14</v>
      </c>
      <c r="R5" s="161" t="s">
        <v>15</v>
      </c>
      <c r="S5" s="133" t="s">
        <v>16</v>
      </c>
      <c r="T5" s="43"/>
      <c r="U5" s="161" t="s">
        <v>23</v>
      </c>
      <c r="V5" s="156" t="s">
        <v>44</v>
      </c>
    </row>
    <row r="6" spans="1:23" s="9" customFormat="1" ht="13.5" customHeight="1">
      <c r="A6" s="134"/>
      <c r="B6" s="134"/>
      <c r="C6" s="134"/>
      <c r="D6" s="134"/>
      <c r="E6" s="21" t="s">
        <v>17</v>
      </c>
      <c r="F6" s="22" t="s">
        <v>18</v>
      </c>
      <c r="G6" s="22" t="s">
        <v>19</v>
      </c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62"/>
      <c r="S6" s="134"/>
      <c r="T6" s="43"/>
      <c r="U6" s="162"/>
      <c r="V6" s="157"/>
    </row>
    <row r="7" spans="1:23" s="9" customFormat="1" ht="13.5" customHeight="1">
      <c r="A7" s="140" t="s">
        <v>15</v>
      </c>
      <c r="B7" s="141"/>
      <c r="C7" s="141"/>
      <c r="D7" s="142"/>
      <c r="E7" s="143">
        <f>EvalPower(E9:G9)</f>
        <v>15</v>
      </c>
      <c r="F7" s="144"/>
      <c r="G7" s="145"/>
      <c r="H7" s="146" t="str">
        <f>EvalMath(H10:H53)</f>
        <v>-</v>
      </c>
      <c r="I7" s="146">
        <f>EvalMath(I10:I53)</f>
        <v>12</v>
      </c>
      <c r="J7" s="152" t="str">
        <f>EvalMath(J10:J53)</f>
        <v>-</v>
      </c>
      <c r="K7" s="146">
        <f>EvalMath(K10:K53)</f>
        <v>3</v>
      </c>
      <c r="L7" s="146" t="str">
        <f>EvalMath(L10:L53)</f>
        <v>-</v>
      </c>
      <c r="M7" s="146" t="str">
        <f>EvalMath(M10:M53)</f>
        <v>-</v>
      </c>
      <c r="N7" s="146" t="str">
        <f>EvalMath(N10:N53)</f>
        <v>-</v>
      </c>
      <c r="O7" s="146" t="str">
        <f>EvalMath(O10:O53)</f>
        <v>-</v>
      </c>
      <c r="P7" s="146" t="str">
        <f>EvalMath(P10:P53)</f>
        <v>-</v>
      </c>
      <c r="Q7" s="146" t="str">
        <f>EvalMath(Q10:Q53)</f>
        <v>-</v>
      </c>
      <c r="R7" s="158" t="str">
        <f>EvalPower(R10:R53)</f>
        <v>0</v>
      </c>
      <c r="S7" s="163"/>
      <c r="T7" s="45"/>
      <c r="U7" s="155"/>
      <c r="V7" s="155"/>
      <c r="W7" s="59"/>
    </row>
    <row r="8" spans="1:23" s="9" customFormat="1" ht="13.5" customHeight="1">
      <c r="A8" s="135" t="s">
        <v>28</v>
      </c>
      <c r="B8" s="136"/>
      <c r="C8" s="136"/>
      <c r="D8" s="137"/>
      <c r="E8" s="121">
        <f>EvalPower(E9:G9)</f>
        <v>15</v>
      </c>
      <c r="F8" s="122"/>
      <c r="G8" s="123"/>
      <c r="H8" s="147"/>
      <c r="I8" s="147"/>
      <c r="J8" s="153"/>
      <c r="K8" s="147"/>
      <c r="L8" s="147"/>
      <c r="M8" s="147"/>
      <c r="N8" s="147"/>
      <c r="O8" s="147"/>
      <c r="P8" s="147"/>
      <c r="Q8" s="147"/>
      <c r="R8" s="159"/>
      <c r="S8" s="164"/>
      <c r="T8" s="45"/>
      <c r="U8" s="155"/>
      <c r="V8" s="155"/>
      <c r="W8" s="59"/>
    </row>
    <row r="9" spans="1:23" s="9" customFormat="1" ht="13.5" customHeight="1">
      <c r="A9" s="138"/>
      <c r="B9" s="128"/>
      <c r="C9" s="128"/>
      <c r="D9" s="139"/>
      <c r="E9" s="16">
        <f>EvalPower(E10:E53)</f>
        <v>15</v>
      </c>
      <c r="F9" s="16" t="str">
        <f>EvalPower(F10:F53)</f>
        <v>0</v>
      </c>
      <c r="G9" s="16" t="str">
        <f>EvalPower(G10:G53)</f>
        <v>0</v>
      </c>
      <c r="H9" s="148"/>
      <c r="I9" s="148"/>
      <c r="J9" s="154"/>
      <c r="K9" s="148"/>
      <c r="L9" s="148"/>
      <c r="M9" s="148"/>
      <c r="N9" s="148"/>
      <c r="O9" s="148"/>
      <c r="P9" s="148"/>
      <c r="Q9" s="148"/>
      <c r="R9" s="160"/>
      <c r="S9" s="164"/>
      <c r="T9" s="45"/>
      <c r="U9" s="155"/>
      <c r="V9" s="155"/>
      <c r="W9" s="59"/>
    </row>
    <row r="10" spans="1:23">
      <c r="A10" s="12">
        <v>1</v>
      </c>
      <c r="B10" s="60"/>
      <c r="C10" s="88"/>
      <c r="D10" s="88"/>
      <c r="E10" s="73"/>
      <c r="F10" s="73"/>
      <c r="G10" s="73"/>
      <c r="H10" s="79"/>
      <c r="I10" s="74"/>
      <c r="J10" s="79"/>
      <c r="K10" s="79"/>
      <c r="L10" s="74"/>
      <c r="M10" s="79"/>
      <c r="N10" s="79"/>
      <c r="O10" s="79"/>
      <c r="P10" s="79"/>
      <c r="Q10" s="79"/>
      <c r="R10" s="77">
        <f>(EvalPower(E10:G10)*U10)</f>
        <v>0</v>
      </c>
      <c r="S10" s="39"/>
      <c r="U10" s="46"/>
    </row>
    <row r="11" spans="1:23">
      <c r="A11" s="12">
        <v>2</v>
      </c>
      <c r="B11" s="60"/>
      <c r="C11" s="88"/>
      <c r="D11" s="88"/>
      <c r="E11" s="73"/>
      <c r="F11" s="73"/>
      <c r="G11" s="73"/>
      <c r="H11" s="79"/>
      <c r="I11" s="74"/>
      <c r="J11" s="79"/>
      <c r="K11" s="79"/>
      <c r="L11" s="74"/>
      <c r="M11" s="79"/>
      <c r="N11" s="79"/>
      <c r="O11" s="79"/>
      <c r="P11" s="79"/>
      <c r="Q11" s="79"/>
      <c r="R11" s="92">
        <f t="shared" ref="R11:R16" si="0">(EvalPower(E11:G11)*U11)</f>
        <v>0</v>
      </c>
      <c r="S11" s="88"/>
      <c r="U11" s="46"/>
    </row>
    <row r="12" spans="1:23">
      <c r="A12" s="12">
        <v>3</v>
      </c>
      <c r="B12" s="60"/>
      <c r="C12" s="88"/>
      <c r="D12" s="88"/>
      <c r="E12" s="27"/>
      <c r="F12" s="27"/>
      <c r="G12" s="27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92">
        <f t="shared" si="0"/>
        <v>0</v>
      </c>
      <c r="S12" s="67"/>
      <c r="U12" s="46"/>
    </row>
    <row r="13" spans="1:23" ht="22.5">
      <c r="A13" s="12">
        <v>4</v>
      </c>
      <c r="B13" s="60" t="s">
        <v>87</v>
      </c>
      <c r="C13" s="91" t="s">
        <v>65</v>
      </c>
      <c r="D13" s="91" t="s">
        <v>86</v>
      </c>
      <c r="E13" s="27" t="s">
        <v>47</v>
      </c>
      <c r="F13" s="27"/>
      <c r="G13" s="27"/>
      <c r="H13" s="12"/>
      <c r="I13" s="12"/>
      <c r="J13" s="12"/>
      <c r="K13" s="12" t="s">
        <v>47</v>
      </c>
      <c r="L13" s="12"/>
      <c r="M13" s="12"/>
      <c r="N13" s="12"/>
      <c r="O13" s="12"/>
      <c r="P13" s="12"/>
      <c r="Q13" s="12"/>
      <c r="R13" s="92">
        <f t="shared" si="0"/>
        <v>0</v>
      </c>
      <c r="S13" s="91" t="s">
        <v>88</v>
      </c>
      <c r="U13" s="46"/>
    </row>
    <row r="14" spans="1:23" ht="22.5">
      <c r="A14" s="12">
        <v>5</v>
      </c>
      <c r="B14" s="75" t="s">
        <v>49</v>
      </c>
      <c r="C14" s="74" t="s">
        <v>54</v>
      </c>
      <c r="D14" s="90" t="s">
        <v>53</v>
      </c>
      <c r="E14" s="27" t="s">
        <v>45</v>
      </c>
      <c r="F14" s="27"/>
      <c r="G14" s="27"/>
      <c r="H14" s="12"/>
      <c r="I14" s="12" t="s">
        <v>45</v>
      </c>
      <c r="J14" s="12"/>
      <c r="K14" s="12"/>
      <c r="L14" s="12"/>
      <c r="M14" s="12"/>
      <c r="N14" s="12"/>
      <c r="O14" s="12"/>
      <c r="P14" s="12"/>
      <c r="Q14" s="12"/>
      <c r="R14" s="92">
        <f t="shared" si="0"/>
        <v>0</v>
      </c>
      <c r="S14" s="91" t="s">
        <v>85</v>
      </c>
      <c r="U14" s="46"/>
    </row>
    <row r="15" spans="1:23" ht="22.5">
      <c r="A15" s="12">
        <v>6</v>
      </c>
      <c r="B15" s="60" t="s">
        <v>92</v>
      </c>
      <c r="C15" s="91" t="s">
        <v>56</v>
      </c>
      <c r="D15" s="91" t="s">
        <v>89</v>
      </c>
      <c r="E15" s="27" t="s">
        <v>76</v>
      </c>
      <c r="F15" s="27"/>
      <c r="G15" s="27"/>
      <c r="H15" s="12"/>
      <c r="I15" s="12" t="s">
        <v>93</v>
      </c>
      <c r="J15" s="12"/>
      <c r="K15" s="12"/>
      <c r="L15" s="12"/>
      <c r="M15" s="12"/>
      <c r="N15" s="12"/>
      <c r="O15" s="12"/>
      <c r="P15" s="12"/>
      <c r="Q15" s="12"/>
      <c r="R15" s="92">
        <f t="shared" si="0"/>
        <v>0</v>
      </c>
      <c r="S15" s="91" t="s">
        <v>94</v>
      </c>
      <c r="U15" s="46"/>
    </row>
    <row r="16" spans="1:23" ht="22.5">
      <c r="A16" s="12">
        <v>7</v>
      </c>
      <c r="B16" s="60" t="s">
        <v>79</v>
      </c>
      <c r="C16" s="91" t="s">
        <v>82</v>
      </c>
      <c r="D16" s="91" t="s">
        <v>81</v>
      </c>
      <c r="E16" s="27" t="s">
        <v>83</v>
      </c>
      <c r="F16" s="27"/>
      <c r="G16" s="27"/>
      <c r="H16" s="12"/>
      <c r="I16" s="12" t="s">
        <v>83</v>
      </c>
      <c r="J16" s="12"/>
      <c r="K16" s="12"/>
      <c r="L16" s="12"/>
      <c r="M16" s="12"/>
      <c r="N16" s="12"/>
      <c r="O16" s="12"/>
      <c r="P16" s="12"/>
      <c r="Q16" s="12"/>
      <c r="R16" s="92">
        <f t="shared" si="0"/>
        <v>0</v>
      </c>
      <c r="S16" s="84" t="s">
        <v>84</v>
      </c>
      <c r="U16" s="46"/>
    </row>
    <row r="17" spans="1:22">
      <c r="A17" s="12"/>
      <c r="B17" s="60"/>
      <c r="C17" s="88"/>
      <c r="D17" s="88"/>
      <c r="E17" s="27"/>
      <c r="F17" s="27"/>
      <c r="G17" s="27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89"/>
      <c r="S17" s="88"/>
      <c r="U17" s="46"/>
    </row>
    <row r="18" spans="1:22">
      <c r="A18" s="12"/>
      <c r="B18" s="60"/>
      <c r="C18" s="84"/>
      <c r="D18" s="84"/>
      <c r="E18" s="27"/>
      <c r="F18" s="27"/>
      <c r="G18" s="27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85"/>
      <c r="S18" s="82"/>
      <c r="U18" s="46"/>
    </row>
    <row r="19" spans="1:22">
      <c r="A19" s="12"/>
      <c r="B19" s="60"/>
      <c r="C19" s="84"/>
      <c r="D19" s="84"/>
      <c r="E19" s="27"/>
      <c r="F19" s="27"/>
      <c r="G19" s="27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85"/>
      <c r="S19" s="84"/>
      <c r="U19" s="46"/>
    </row>
    <row r="20" spans="1:22">
      <c r="A20" s="12"/>
      <c r="B20" s="60"/>
      <c r="C20" s="84"/>
      <c r="D20" s="84"/>
      <c r="E20" s="27"/>
      <c r="F20" s="27"/>
      <c r="G20" s="27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85"/>
      <c r="S20" s="39"/>
      <c r="U20" s="46"/>
    </row>
    <row r="21" spans="1:22">
      <c r="A21" s="12"/>
      <c r="B21" s="60"/>
      <c r="C21" s="82"/>
      <c r="D21" s="82"/>
      <c r="E21" s="27"/>
      <c r="F21" s="27"/>
      <c r="G21" s="27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83"/>
      <c r="S21" s="81"/>
      <c r="U21" s="46"/>
    </row>
    <row r="22" spans="1:22">
      <c r="A22" s="12"/>
      <c r="B22" s="60"/>
      <c r="C22" s="81"/>
      <c r="D22" s="81"/>
      <c r="E22" s="27"/>
      <c r="F22" s="27"/>
      <c r="G22" s="27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80"/>
      <c r="S22" s="81"/>
      <c r="U22" s="46"/>
      <c r="V22" s="15"/>
    </row>
    <row r="23" spans="1:22">
      <c r="A23" s="12"/>
      <c r="B23" s="60"/>
      <c r="C23" s="90"/>
      <c r="D23" s="90"/>
      <c r="E23" s="27"/>
      <c r="F23" s="27"/>
      <c r="G23" s="27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80"/>
      <c r="S23" s="81"/>
      <c r="U23" s="46"/>
      <c r="V23" s="15"/>
    </row>
    <row r="24" spans="1:22">
      <c r="A24" s="12"/>
      <c r="B24" s="60"/>
      <c r="C24" s="81"/>
      <c r="D24" s="81"/>
      <c r="E24" s="27"/>
      <c r="F24" s="27"/>
      <c r="G24" s="27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80"/>
      <c r="S24" s="67"/>
      <c r="U24" s="46"/>
      <c r="V24" s="15"/>
    </row>
    <row r="25" spans="1:22">
      <c r="A25" s="12"/>
      <c r="B25" s="60"/>
      <c r="C25" s="81"/>
      <c r="D25" s="81"/>
      <c r="E25" s="27"/>
      <c r="F25" s="27"/>
      <c r="G25" s="27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80"/>
      <c r="S25" s="81"/>
      <c r="U25" s="46"/>
      <c r="V25" s="15"/>
    </row>
    <row r="26" spans="1:22" ht="26.25" customHeight="1">
      <c r="A26" s="12"/>
      <c r="B26" s="60"/>
      <c r="C26" s="81"/>
      <c r="D26" s="81"/>
      <c r="E26" s="27"/>
      <c r="F26" s="27"/>
      <c r="G26" s="27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80"/>
      <c r="S26" s="81"/>
      <c r="U26" s="46"/>
      <c r="V26" s="15"/>
    </row>
    <row r="27" spans="1:22">
      <c r="A27" s="12"/>
      <c r="B27" s="60"/>
      <c r="C27" s="81"/>
      <c r="D27" s="81"/>
      <c r="E27" s="27"/>
      <c r="F27" s="27"/>
      <c r="G27" s="27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80"/>
      <c r="S27" s="81"/>
      <c r="U27" s="46"/>
      <c r="V27" s="15"/>
    </row>
    <row r="28" spans="1:22">
      <c r="A28" s="12"/>
      <c r="B28" s="60"/>
      <c r="C28" s="81"/>
      <c r="D28" s="81"/>
      <c r="E28" s="27"/>
      <c r="F28" s="27"/>
      <c r="G28" s="27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80"/>
      <c r="S28" s="81"/>
      <c r="U28" s="46"/>
      <c r="V28" s="15"/>
    </row>
    <row r="29" spans="1:22">
      <c r="A29" s="12"/>
      <c r="B29" s="60"/>
      <c r="C29" s="78"/>
      <c r="D29" s="78"/>
      <c r="E29" s="27"/>
      <c r="F29" s="27"/>
      <c r="G29" s="27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77"/>
      <c r="S29" s="39"/>
      <c r="U29" s="15"/>
      <c r="V29" s="15"/>
    </row>
    <row r="30" spans="1:22">
      <c r="A30" s="12"/>
      <c r="B30" s="14"/>
      <c r="C30" s="12"/>
      <c r="D30" s="12"/>
      <c r="E30" s="27"/>
      <c r="F30" s="27"/>
      <c r="G30" s="27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69"/>
      <c r="S30" s="39"/>
      <c r="U30" s="46"/>
      <c r="V30" s="15"/>
    </row>
    <row r="31" spans="1:22">
      <c r="A31" s="12"/>
      <c r="B31" s="14"/>
      <c r="C31" s="12"/>
      <c r="D31" s="12"/>
      <c r="E31" s="27"/>
      <c r="F31" s="27"/>
      <c r="G31" s="27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69"/>
      <c r="S31" s="39"/>
      <c r="U31" s="46"/>
      <c r="V31" s="15"/>
    </row>
    <row r="32" spans="1:22">
      <c r="A32" s="12"/>
      <c r="B32" s="14"/>
      <c r="C32" s="12"/>
      <c r="D32" s="12"/>
      <c r="E32" s="27"/>
      <c r="F32" s="27"/>
      <c r="G32" s="27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69"/>
      <c r="S32" s="39"/>
      <c r="U32" s="46"/>
      <c r="V32" s="15"/>
    </row>
    <row r="33" spans="1:22">
      <c r="A33" s="12"/>
      <c r="B33" s="14"/>
      <c r="C33" s="12"/>
      <c r="D33" s="12"/>
      <c r="E33" s="27"/>
      <c r="F33" s="27"/>
      <c r="G33" s="27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65"/>
      <c r="S33" s="39"/>
      <c r="U33" s="46"/>
      <c r="V33" s="15"/>
    </row>
    <row r="34" spans="1:22">
      <c r="A34" s="12"/>
      <c r="B34" s="14"/>
      <c r="C34" s="12"/>
      <c r="D34" s="12"/>
      <c r="E34" s="27"/>
      <c r="F34" s="27"/>
      <c r="G34" s="27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65"/>
      <c r="S34" s="39"/>
      <c r="T34" s="43"/>
      <c r="U34" s="15"/>
      <c r="V34" s="15"/>
    </row>
    <row r="35" spans="1:22">
      <c r="A35" s="12"/>
      <c r="B35" s="14"/>
      <c r="C35" s="12"/>
      <c r="D35" s="12"/>
      <c r="E35" s="27"/>
      <c r="F35" s="27"/>
      <c r="G35" s="27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65"/>
      <c r="S35" s="39"/>
      <c r="T35" s="43"/>
      <c r="U35" s="15"/>
      <c r="V35" s="15"/>
    </row>
    <row r="36" spans="1:22">
      <c r="A36" s="12"/>
      <c r="B36" s="14"/>
      <c r="C36" s="12"/>
      <c r="D36" s="12"/>
      <c r="E36" s="27"/>
      <c r="F36" s="27"/>
      <c r="G36" s="27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65"/>
      <c r="S36" s="39"/>
      <c r="T36" s="43"/>
      <c r="U36" s="15"/>
      <c r="V36" s="15"/>
    </row>
    <row r="37" spans="1:22">
      <c r="A37" s="12"/>
      <c r="B37" s="14"/>
      <c r="C37" s="12"/>
      <c r="D37" s="12"/>
      <c r="E37" s="27"/>
      <c r="F37" s="27"/>
      <c r="G37" s="27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47"/>
      <c r="S37" s="42"/>
      <c r="U37" s="15"/>
      <c r="V37" s="46"/>
    </row>
    <row r="38" spans="1:22">
      <c r="A38" s="12"/>
      <c r="B38" s="14"/>
      <c r="C38" s="12"/>
      <c r="D38" s="12"/>
      <c r="E38" s="27"/>
      <c r="F38" s="27"/>
      <c r="G38" s="27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47"/>
      <c r="S38" s="42"/>
      <c r="U38" s="15"/>
      <c r="V38" s="46"/>
    </row>
    <row r="39" spans="1:22">
      <c r="A39" s="12"/>
      <c r="B39" s="14"/>
      <c r="C39" s="12"/>
      <c r="D39" s="12"/>
      <c r="E39" s="27"/>
      <c r="F39" s="27"/>
      <c r="G39" s="27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47"/>
      <c r="S39" s="42"/>
      <c r="U39" s="15"/>
      <c r="V39" s="46"/>
    </row>
    <row r="40" spans="1:22">
      <c r="A40" s="12"/>
      <c r="B40" s="14"/>
      <c r="C40" s="12"/>
      <c r="D40" s="12"/>
      <c r="E40" s="27"/>
      <c r="F40" s="27"/>
      <c r="G40" s="27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47"/>
      <c r="S40" s="42"/>
      <c r="U40" s="46"/>
      <c r="V40" s="46"/>
    </row>
    <row r="41" spans="1:22">
      <c r="A41" s="12"/>
      <c r="B41" s="14"/>
      <c r="C41" s="12"/>
      <c r="D41" s="12"/>
      <c r="E41" s="27"/>
      <c r="F41" s="27"/>
      <c r="G41" s="27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47"/>
      <c r="S41" s="42"/>
      <c r="U41" s="46"/>
      <c r="V41" s="46"/>
    </row>
    <row r="42" spans="1:22">
      <c r="A42" s="12"/>
      <c r="B42" s="14"/>
      <c r="C42" s="12"/>
      <c r="D42" s="12"/>
      <c r="E42" s="27"/>
      <c r="F42" s="27"/>
      <c r="G42" s="27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47"/>
      <c r="S42" s="54"/>
      <c r="U42" s="46"/>
      <c r="V42" s="46"/>
    </row>
    <row r="43" spans="1:22">
      <c r="A43" s="12"/>
      <c r="B43" s="14"/>
      <c r="C43" s="12"/>
      <c r="D43" s="12"/>
      <c r="E43" s="27"/>
      <c r="F43" s="27"/>
      <c r="G43" s="27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47"/>
      <c r="S43" s="54"/>
      <c r="U43" s="46"/>
      <c r="V43" s="46"/>
    </row>
    <row r="44" spans="1:22" ht="23.25" customHeight="1">
      <c r="A44" s="12"/>
      <c r="B44" s="14"/>
      <c r="C44" s="12"/>
      <c r="D44" s="12"/>
      <c r="E44" s="27"/>
      <c r="F44" s="27"/>
      <c r="G44" s="27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47"/>
      <c r="S44" s="54"/>
      <c r="U44" s="46"/>
      <c r="V44" s="46"/>
    </row>
    <row r="45" spans="1:22" ht="16.5" customHeight="1">
      <c r="A45" s="12"/>
      <c r="B45" s="14"/>
      <c r="C45" s="12"/>
      <c r="D45" s="12"/>
      <c r="E45" s="27"/>
      <c r="F45" s="27"/>
      <c r="G45" s="27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47"/>
      <c r="S45" s="54"/>
      <c r="U45" s="46"/>
      <c r="V45" s="46"/>
    </row>
    <row r="46" spans="1:22" ht="16.5" customHeight="1">
      <c r="A46" s="12"/>
      <c r="B46" s="14"/>
      <c r="C46" s="12"/>
      <c r="D46" s="12"/>
      <c r="E46" s="27"/>
      <c r="F46" s="27"/>
      <c r="G46" s="27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47"/>
      <c r="S46" s="54"/>
      <c r="U46" s="46"/>
      <c r="V46" s="46"/>
    </row>
    <row r="47" spans="1:22" ht="16.5" customHeight="1">
      <c r="A47" s="12"/>
      <c r="B47" s="14"/>
      <c r="C47" s="12"/>
      <c r="D47" s="12"/>
      <c r="E47" s="27"/>
      <c r="F47" s="27"/>
      <c r="G47" s="27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47"/>
      <c r="S47" s="54"/>
      <c r="U47" s="46"/>
      <c r="V47" s="46"/>
    </row>
    <row r="48" spans="1:22" ht="16.5" customHeight="1">
      <c r="A48" s="12"/>
      <c r="B48" s="14"/>
      <c r="C48" s="12"/>
      <c r="D48" s="12"/>
      <c r="E48" s="27"/>
      <c r="F48" s="27"/>
      <c r="G48" s="27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47"/>
      <c r="S48" s="54"/>
      <c r="U48" s="46"/>
      <c r="V48" s="46"/>
    </row>
    <row r="49" spans="1:22" ht="16.5" customHeight="1">
      <c r="A49" s="12"/>
      <c r="B49" s="14"/>
      <c r="C49" s="12"/>
      <c r="D49" s="12"/>
      <c r="E49" s="27"/>
      <c r="F49" s="27"/>
      <c r="G49" s="27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47"/>
      <c r="S49" s="55"/>
      <c r="U49" s="46"/>
      <c r="V49" s="46"/>
    </row>
    <row r="50" spans="1:22" ht="16.5" customHeight="1">
      <c r="A50" s="12"/>
      <c r="B50" s="14"/>
      <c r="C50" s="12"/>
      <c r="D50" s="12"/>
      <c r="E50" s="27"/>
      <c r="F50" s="27"/>
      <c r="G50" s="27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47"/>
      <c r="S50" s="55"/>
      <c r="U50" s="46"/>
      <c r="V50" s="46"/>
    </row>
    <row r="51" spans="1:22" ht="16.5" customHeight="1">
      <c r="A51" s="12"/>
      <c r="B51" s="14"/>
      <c r="C51" s="12"/>
      <c r="D51" s="12"/>
      <c r="E51" s="27"/>
      <c r="F51" s="27"/>
      <c r="G51" s="27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47"/>
      <c r="S51" s="55"/>
      <c r="U51" s="46"/>
      <c r="V51" s="46"/>
    </row>
    <row r="52" spans="1:22" ht="16.5" customHeight="1">
      <c r="A52" s="12"/>
      <c r="B52" s="14"/>
      <c r="C52" s="12"/>
      <c r="D52" s="12"/>
      <c r="E52" s="27"/>
      <c r="F52" s="27"/>
      <c r="G52" s="27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47"/>
      <c r="S52" s="55"/>
      <c r="U52" s="46"/>
      <c r="V52" s="46"/>
    </row>
    <row r="53" spans="1:22" ht="16.5" customHeight="1">
      <c r="A53" s="12"/>
      <c r="B53" s="14"/>
      <c r="C53" s="12"/>
      <c r="D53" s="12"/>
      <c r="E53" s="27"/>
      <c r="F53" s="27"/>
      <c r="G53" s="27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47"/>
      <c r="S53" s="54"/>
      <c r="U53" s="46"/>
      <c r="V53" s="46"/>
    </row>
    <row r="54" spans="1:22" ht="16.5" customHeight="1">
      <c r="A54" s="12"/>
      <c r="B54" s="14"/>
      <c r="C54" s="12"/>
      <c r="D54" s="12"/>
      <c r="E54" s="27"/>
      <c r="F54" s="27"/>
      <c r="G54" s="27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47"/>
      <c r="S54" s="54"/>
      <c r="U54" s="46"/>
      <c r="V54" s="46"/>
    </row>
    <row r="55" spans="1:22" ht="16.5" customHeight="1">
      <c r="A55" s="12"/>
      <c r="B55" s="14"/>
      <c r="C55" s="12"/>
      <c r="D55" s="12"/>
      <c r="E55" s="27"/>
      <c r="F55" s="27"/>
      <c r="G55" s="27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47"/>
      <c r="S55" s="54"/>
      <c r="U55" s="46"/>
      <c r="V55" s="46"/>
    </row>
    <row r="56" spans="1:22" ht="16.5" customHeight="1">
      <c r="A56" s="12"/>
      <c r="B56" s="14"/>
      <c r="C56" s="12"/>
      <c r="D56" s="12"/>
      <c r="E56" s="27"/>
      <c r="F56" s="27"/>
      <c r="G56" s="27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47"/>
      <c r="S56" s="54"/>
      <c r="U56" s="48"/>
      <c r="V56" s="46"/>
    </row>
    <row r="57" spans="1:22" ht="16.5" customHeight="1">
      <c r="A57" s="12"/>
      <c r="B57" s="14"/>
      <c r="C57" s="12"/>
      <c r="D57" s="12"/>
      <c r="E57" s="27"/>
      <c r="F57" s="27"/>
      <c r="G57" s="27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47"/>
      <c r="S57" s="54"/>
      <c r="U57" s="48"/>
      <c r="V57" s="46"/>
    </row>
    <row r="58" spans="1:22" ht="16.5" customHeight="1">
      <c r="A58" s="12"/>
      <c r="B58" s="14"/>
      <c r="C58" s="12"/>
      <c r="D58" s="12"/>
      <c r="E58" s="27"/>
      <c r="F58" s="27"/>
      <c r="G58" s="27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47"/>
      <c r="S58" s="54"/>
      <c r="U58" s="48"/>
      <c r="V58" s="46"/>
    </row>
    <row r="59" spans="1:22" ht="16.5" customHeight="1">
      <c r="A59" s="12"/>
      <c r="B59" s="14"/>
      <c r="C59" s="12"/>
      <c r="D59" s="12"/>
      <c r="E59" s="27"/>
      <c r="F59" s="27"/>
      <c r="G59" s="27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47"/>
      <c r="S59" s="54"/>
      <c r="U59" s="48"/>
      <c r="V59" s="46"/>
    </row>
    <row r="60" spans="1:22" ht="16.5" customHeight="1">
      <c r="A60" s="12"/>
      <c r="B60" s="14"/>
      <c r="C60" s="12"/>
      <c r="D60" s="12"/>
      <c r="E60" s="27"/>
      <c r="F60" s="27"/>
      <c r="G60" s="27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47"/>
      <c r="S60" s="54"/>
      <c r="U60" s="48"/>
      <c r="V60" s="46"/>
    </row>
    <row r="61" spans="1:22" ht="16.5" customHeight="1">
      <c r="A61" s="12"/>
      <c r="B61" s="14"/>
      <c r="C61" s="12"/>
      <c r="D61" s="12"/>
      <c r="E61" s="27"/>
      <c r="F61" s="27"/>
      <c r="G61" s="27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47"/>
      <c r="S61" s="56"/>
      <c r="U61" s="50"/>
      <c r="V61" s="46"/>
    </row>
    <row r="62" spans="1:22" ht="16.5" customHeight="1">
      <c r="A62" s="12"/>
      <c r="B62" s="14"/>
      <c r="C62" s="12"/>
      <c r="D62" s="12"/>
      <c r="E62" s="27"/>
      <c r="F62" s="27"/>
      <c r="G62" s="27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47"/>
      <c r="S62" s="56"/>
      <c r="U62" s="50"/>
      <c r="V62" s="46"/>
    </row>
    <row r="63" spans="1:22" ht="16.5" customHeight="1">
      <c r="A63" s="12"/>
      <c r="B63" s="14"/>
      <c r="C63" s="12"/>
      <c r="D63" s="12"/>
      <c r="E63" s="27"/>
      <c r="F63" s="27"/>
      <c r="G63" s="27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47"/>
      <c r="S63" s="56"/>
      <c r="U63" s="50"/>
      <c r="V63" s="46"/>
    </row>
    <row r="64" spans="1:22" ht="16.5" customHeight="1">
      <c r="A64" s="12"/>
      <c r="B64" s="14"/>
      <c r="C64" s="12"/>
      <c r="D64" s="12"/>
      <c r="E64" s="27"/>
      <c r="F64" s="27"/>
      <c r="G64" s="27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47"/>
      <c r="S64" s="56"/>
      <c r="U64" s="50"/>
      <c r="V64" s="46"/>
    </row>
    <row r="65" spans="1:22" ht="16.5" customHeight="1">
      <c r="A65" s="12"/>
      <c r="B65" s="14"/>
      <c r="C65" s="12"/>
      <c r="D65" s="12"/>
      <c r="E65" s="27"/>
      <c r="F65" s="27"/>
      <c r="G65" s="27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47"/>
      <c r="S65" s="57"/>
      <c r="U65" s="49"/>
      <c r="V65" s="46"/>
    </row>
    <row r="66" spans="1:22" ht="16.5" customHeight="1">
      <c r="A66" s="12"/>
      <c r="B66" s="14"/>
      <c r="C66" s="12"/>
      <c r="D66" s="12"/>
      <c r="E66" s="27"/>
      <c r="F66" s="27"/>
      <c r="G66" s="27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47"/>
      <c r="S66" s="57"/>
      <c r="U66" s="49"/>
      <c r="V66" s="46"/>
    </row>
    <row r="67" spans="1:22" ht="16.5" customHeight="1">
      <c r="A67" s="12"/>
      <c r="B67" s="14"/>
      <c r="C67" s="12"/>
      <c r="D67" s="12"/>
      <c r="E67" s="27"/>
      <c r="F67" s="27"/>
      <c r="G67" s="27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47"/>
      <c r="S67" s="57"/>
      <c r="U67" s="49"/>
      <c r="V67" s="46"/>
    </row>
    <row r="68" spans="1:22" ht="16.5" customHeight="1">
      <c r="A68" s="12"/>
      <c r="B68" s="14"/>
      <c r="C68" s="12"/>
      <c r="D68" s="12"/>
      <c r="E68" s="27"/>
      <c r="F68" s="27"/>
      <c r="G68" s="27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47"/>
      <c r="S68" s="57"/>
      <c r="U68" s="49"/>
      <c r="V68" s="46"/>
    </row>
    <row r="69" spans="1:22" ht="16.5" customHeight="1">
      <c r="A69" s="12"/>
      <c r="B69" s="14"/>
      <c r="C69" s="12"/>
      <c r="D69" s="12"/>
      <c r="E69" s="27"/>
      <c r="F69" s="27"/>
      <c r="G69" s="27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47"/>
      <c r="S69" s="57"/>
      <c r="U69" s="49"/>
      <c r="V69" s="46"/>
    </row>
    <row r="70" spans="1:22" ht="16.5" customHeight="1">
      <c r="A70" s="12"/>
      <c r="B70" s="14"/>
      <c r="C70" s="12"/>
      <c r="D70" s="12"/>
      <c r="E70" s="27"/>
      <c r="F70" s="27"/>
      <c r="G70" s="27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47"/>
      <c r="S70" s="57"/>
      <c r="U70" s="49"/>
      <c r="V70" s="46"/>
    </row>
    <row r="71" spans="1:22" ht="16.5" customHeight="1">
      <c r="A71" s="12"/>
      <c r="B71" s="14"/>
      <c r="C71" s="12"/>
      <c r="D71" s="12"/>
      <c r="E71" s="27"/>
      <c r="F71" s="27"/>
      <c r="G71" s="27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47"/>
      <c r="S71" s="57"/>
      <c r="U71" s="49"/>
      <c r="V71" s="46"/>
    </row>
    <row r="72" spans="1:22" ht="16.5" customHeight="1">
      <c r="A72" s="12"/>
      <c r="B72" s="14"/>
      <c r="C72" s="12"/>
      <c r="D72" s="12"/>
      <c r="E72" s="27"/>
      <c r="F72" s="27"/>
      <c r="G72" s="27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47"/>
      <c r="S72" s="57"/>
      <c r="U72" s="49"/>
      <c r="V72" s="46"/>
    </row>
    <row r="73" spans="1:22" ht="16.5" customHeight="1">
      <c r="A73" s="12"/>
      <c r="B73" s="14"/>
      <c r="C73" s="12"/>
      <c r="D73" s="12"/>
      <c r="E73" s="27"/>
      <c r="F73" s="27"/>
      <c r="G73" s="27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47"/>
      <c r="S73" s="57"/>
      <c r="U73" s="49"/>
      <c r="V73" s="46"/>
    </row>
    <row r="74" spans="1:22" ht="16.5" customHeight="1">
      <c r="A74" s="12"/>
      <c r="B74" s="14"/>
      <c r="C74" s="12"/>
      <c r="D74" s="12"/>
      <c r="E74" s="27"/>
      <c r="F74" s="27"/>
      <c r="G74" s="27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47"/>
      <c r="S74" s="57"/>
      <c r="U74" s="49"/>
      <c r="V74" s="46"/>
    </row>
    <row r="75" spans="1:22" ht="16.5" customHeight="1">
      <c r="A75" s="12"/>
      <c r="B75" s="14"/>
      <c r="C75" s="12"/>
      <c r="D75" s="12"/>
      <c r="E75" s="27"/>
      <c r="F75" s="27"/>
      <c r="G75" s="27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47"/>
      <c r="S75" s="57"/>
      <c r="U75" s="49"/>
      <c r="V75" s="46"/>
    </row>
    <row r="76" spans="1:22" ht="16.5" customHeight="1">
      <c r="A76" s="12"/>
      <c r="B76" s="14"/>
      <c r="C76" s="12"/>
      <c r="D76" s="12"/>
      <c r="E76" s="27"/>
      <c r="F76" s="27"/>
      <c r="G76" s="27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47"/>
      <c r="S76" s="57"/>
      <c r="U76" s="49"/>
      <c r="V76" s="46"/>
    </row>
    <row r="77" spans="1:22" ht="16.5" customHeight="1">
      <c r="A77" s="12"/>
      <c r="B77" s="14"/>
      <c r="C77" s="12"/>
      <c r="D77" s="12"/>
      <c r="E77" s="27"/>
      <c r="F77" s="27"/>
      <c r="G77" s="27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47"/>
      <c r="S77" s="57"/>
      <c r="U77" s="49"/>
      <c r="V77" s="46"/>
    </row>
    <row r="78" spans="1:22" ht="16.5" customHeight="1">
      <c r="A78" s="12"/>
      <c r="B78" s="14"/>
      <c r="C78" s="12"/>
      <c r="D78" s="12"/>
      <c r="E78" s="27"/>
      <c r="F78" s="27"/>
      <c r="G78" s="27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47"/>
      <c r="S78" s="57"/>
      <c r="U78" s="49"/>
      <c r="V78" s="46"/>
    </row>
    <row r="79" spans="1:22" ht="16.5" customHeight="1">
      <c r="A79" s="12"/>
      <c r="B79" s="14"/>
      <c r="C79" s="12"/>
      <c r="D79" s="12"/>
      <c r="E79" s="27"/>
      <c r="F79" s="27"/>
      <c r="G79" s="27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47"/>
      <c r="S79" s="57"/>
      <c r="U79" s="49"/>
      <c r="V79" s="46"/>
    </row>
    <row r="80" spans="1:22" ht="16.5" customHeight="1">
      <c r="A80" s="12"/>
      <c r="B80" s="14"/>
      <c r="C80" s="12"/>
      <c r="D80" s="12"/>
      <c r="E80" s="27"/>
      <c r="F80" s="27"/>
      <c r="G80" s="27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47"/>
      <c r="S80" s="57"/>
      <c r="U80" s="49"/>
      <c r="V80" s="46"/>
    </row>
    <row r="81" spans="1:22" ht="16.5" customHeight="1">
      <c r="A81" s="12"/>
      <c r="B81" s="14"/>
      <c r="C81" s="12"/>
      <c r="D81" s="12"/>
      <c r="E81" s="27"/>
      <c r="F81" s="27"/>
      <c r="G81" s="27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47"/>
      <c r="S81" s="57"/>
      <c r="U81" s="49"/>
      <c r="V81" s="46"/>
    </row>
    <row r="82" spans="1:22" ht="16.5" customHeight="1">
      <c r="A82" s="12"/>
      <c r="B82" s="14"/>
      <c r="C82" s="12"/>
      <c r="D82" s="12"/>
      <c r="E82" s="27"/>
      <c r="F82" s="27"/>
      <c r="G82" s="27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47"/>
      <c r="S82" s="57"/>
      <c r="U82" s="49"/>
      <c r="V82" s="46"/>
    </row>
    <row r="83" spans="1:22" ht="16.5" customHeight="1">
      <c r="A83" s="12"/>
      <c r="B83" s="14"/>
      <c r="C83" s="12"/>
      <c r="D83" s="12"/>
      <c r="E83" s="27"/>
      <c r="F83" s="27"/>
      <c r="G83" s="27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47"/>
      <c r="S83" s="57"/>
      <c r="U83" s="49"/>
      <c r="V83" s="46"/>
    </row>
    <row r="84" spans="1:22" ht="16.5" customHeight="1">
      <c r="A84" s="12"/>
      <c r="B84" s="14"/>
      <c r="C84" s="12"/>
      <c r="D84" s="12"/>
      <c r="E84" s="27"/>
      <c r="F84" s="27"/>
      <c r="G84" s="27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47"/>
      <c r="S84" s="57"/>
      <c r="U84" s="49"/>
      <c r="V84" s="46"/>
    </row>
    <row r="85" spans="1:22" ht="16.5" customHeight="1">
      <c r="A85" s="12"/>
      <c r="B85" s="14"/>
      <c r="C85" s="12"/>
      <c r="D85" s="12"/>
      <c r="E85" s="27"/>
      <c r="F85" s="27"/>
      <c r="G85" s="27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68"/>
      <c r="S85" s="57"/>
      <c r="U85" s="49"/>
      <c r="V85" s="46"/>
    </row>
    <row r="86" spans="1:22" ht="16.5" customHeight="1">
      <c r="A86" s="12"/>
      <c r="B86" s="14"/>
      <c r="C86" s="12"/>
      <c r="D86" s="12"/>
      <c r="E86" s="27"/>
      <c r="F86" s="27"/>
      <c r="G86" s="27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68"/>
      <c r="S86" s="57"/>
      <c r="U86" s="49"/>
      <c r="V86" s="46"/>
    </row>
    <row r="87" spans="1:22" ht="16.5" customHeight="1">
      <c r="A87" s="12"/>
      <c r="B87" s="14"/>
      <c r="C87" s="12"/>
      <c r="D87" s="12"/>
      <c r="E87" s="27"/>
      <c r="F87" s="27"/>
      <c r="G87" s="27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68"/>
      <c r="S87" s="57"/>
      <c r="U87" s="49"/>
      <c r="V87" s="46"/>
    </row>
    <row r="88" spans="1:22" ht="16.5" customHeight="1">
      <c r="A88" s="12"/>
      <c r="B88" s="14"/>
      <c r="C88" s="12"/>
      <c r="D88" s="12"/>
      <c r="E88" s="27"/>
      <c r="F88" s="27"/>
      <c r="G88" s="27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68"/>
      <c r="S88" s="57"/>
      <c r="U88" s="49"/>
      <c r="V88" s="46"/>
    </row>
    <row r="89" spans="1:22" ht="16.5" customHeight="1">
      <c r="A89" s="12"/>
      <c r="B89" s="14"/>
      <c r="C89" s="12"/>
      <c r="D89" s="12"/>
      <c r="E89" s="27"/>
      <c r="F89" s="27"/>
      <c r="G89" s="27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68"/>
      <c r="S89" s="57"/>
      <c r="U89" s="49"/>
      <c r="V89" s="46"/>
    </row>
    <row r="90" spans="1:22" ht="16.5" customHeight="1">
      <c r="A90" s="12"/>
      <c r="B90" s="14"/>
      <c r="C90" s="12"/>
      <c r="D90" s="12"/>
      <c r="E90" s="27"/>
      <c r="F90" s="27"/>
      <c r="G90" s="27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68"/>
      <c r="S90" s="57"/>
      <c r="U90" s="49"/>
      <c r="V90" s="46"/>
    </row>
    <row r="91" spans="1:22" ht="16.5" customHeight="1">
      <c r="A91" s="12"/>
      <c r="B91" s="14"/>
      <c r="C91" s="12"/>
      <c r="D91" s="12"/>
      <c r="E91" s="27"/>
      <c r="F91" s="27"/>
      <c r="G91" s="27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68"/>
      <c r="S91" s="57"/>
      <c r="U91" s="49"/>
      <c r="V91" s="46"/>
    </row>
    <row r="92" spans="1:22" ht="16.5" customHeight="1">
      <c r="A92" s="12"/>
      <c r="B92" s="14"/>
      <c r="C92" s="12"/>
      <c r="D92" s="12"/>
      <c r="E92" s="27"/>
      <c r="F92" s="27"/>
      <c r="G92" s="27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68"/>
      <c r="S92" s="57"/>
      <c r="U92" s="49"/>
      <c r="V92" s="46"/>
    </row>
    <row r="93" spans="1:22" ht="16.5" customHeight="1">
      <c r="A93" s="12"/>
      <c r="B93" s="14"/>
      <c r="C93" s="12"/>
      <c r="D93" s="12"/>
      <c r="E93" s="27"/>
      <c r="F93" s="27"/>
      <c r="G93" s="27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68"/>
      <c r="S93" s="57"/>
      <c r="U93" s="49"/>
      <c r="V93" s="46"/>
    </row>
    <row r="94" spans="1:22" ht="16.5" customHeight="1">
      <c r="A94" s="12"/>
      <c r="B94" s="14"/>
      <c r="C94" s="12"/>
      <c r="D94" s="12"/>
      <c r="E94" s="27"/>
      <c r="F94" s="27"/>
      <c r="G94" s="27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68"/>
      <c r="S94" s="57"/>
      <c r="U94" s="49"/>
      <c r="V94" s="46"/>
    </row>
    <row r="95" spans="1:22" ht="16.5" customHeight="1">
      <c r="A95" s="12"/>
      <c r="B95" s="14"/>
      <c r="C95" s="12"/>
      <c r="D95" s="12"/>
      <c r="E95" s="27"/>
      <c r="F95" s="27"/>
      <c r="G95" s="27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68"/>
      <c r="S95" s="58"/>
      <c r="U95" s="49"/>
      <c r="V95" s="46"/>
    </row>
    <row r="96" spans="1:22" ht="16.5" customHeight="1">
      <c r="A96" s="12"/>
      <c r="B96" s="14"/>
      <c r="C96" s="12"/>
      <c r="D96" s="12"/>
      <c r="E96" s="27"/>
      <c r="F96" s="27"/>
      <c r="G96" s="27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68"/>
      <c r="S96" s="58"/>
      <c r="U96" s="49"/>
      <c r="V96" s="46"/>
    </row>
    <row r="97" spans="1:23" ht="20.25">
      <c r="A97" s="31"/>
      <c r="B97" s="31"/>
      <c r="C97" s="31"/>
      <c r="D97" s="31"/>
      <c r="E97" s="31"/>
      <c r="F97" s="31"/>
      <c r="G97" s="31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51"/>
      <c r="S97" s="30"/>
      <c r="U97" s="51"/>
      <c r="V97" s="52"/>
      <c r="W97" s="52"/>
    </row>
    <row r="98" spans="1:23">
      <c r="A98" s="12"/>
      <c r="B98" s="14"/>
      <c r="C98" s="12"/>
      <c r="D98" s="12"/>
    </row>
    <row r="99" spans="1:23" ht="16.5" customHeight="1">
      <c r="A99" s="12"/>
      <c r="B99" s="14"/>
      <c r="C99" s="12"/>
      <c r="D99" s="12"/>
      <c r="R99" s="68"/>
    </row>
    <row r="100" spans="1:23" ht="16.5" customHeight="1">
      <c r="R100" s="68"/>
    </row>
  </sheetData>
  <mergeCells count="37"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  <mergeCell ref="S5:S6"/>
    <mergeCell ref="M7:M9"/>
    <mergeCell ref="M5:M6"/>
    <mergeCell ref="N5:N6"/>
    <mergeCell ref="E5:G5"/>
    <mergeCell ref="J7:J9"/>
    <mergeCell ref="K7:K9"/>
    <mergeCell ref="I5:I6"/>
    <mergeCell ref="J5:J6"/>
    <mergeCell ref="K5:K6"/>
    <mergeCell ref="I7:I9"/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</mergeCells>
  <pageMargins left="0.7" right="0.7" top="0.75" bottom="0.75" header="0.3" footer="0.3"/>
  <pageSetup orientation="portrait" r:id="rId1"/>
  <ignoredErrors>
    <ignoredError sqref="E13:E16 K13 I14 I1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19</xdr:col>
                    <xdr:colOff>342900</xdr:colOff>
                    <xdr:row>0</xdr:row>
                    <xdr:rowOff>104775</xdr:rowOff>
                  </from>
                  <to>
                    <xdr:col>21</xdr:col>
                    <xdr:colOff>914400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19</xdr:col>
                    <xdr:colOff>323850</xdr:colOff>
                    <xdr:row>1</xdr:row>
                    <xdr:rowOff>209550</xdr:rowOff>
                  </from>
                  <to>
                    <xdr:col>22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6"/>
  <sheetViews>
    <sheetView tabSelected="1" zoomScale="85" zoomScaleNormal="85" workbookViewId="0">
      <selection activeCell="I9" sqref="I9"/>
    </sheetView>
  </sheetViews>
  <sheetFormatPr defaultRowHeight="14.25"/>
  <cols>
    <col min="1" max="1" width="3.25" customWidth="1"/>
    <col min="2" max="2" width="37.25" customWidth="1"/>
    <col min="3" max="3" width="8.625" customWidth="1"/>
    <col min="4" max="4" width="13.625" bestFit="1" customWidth="1"/>
  </cols>
  <sheetData>
    <row r="1" spans="2:4" ht="30.75" customHeight="1" thickBot="1"/>
    <row r="2" spans="2:4" ht="30.75" customHeight="1" thickBot="1">
      <c r="B2" s="33" t="str">
        <f>Publish!C4</f>
        <v>18.11.2025</v>
      </c>
      <c r="C2" s="34" t="s">
        <v>31</v>
      </c>
      <c r="D2" s="34" t="s">
        <v>24</v>
      </c>
    </row>
    <row r="3" spans="2:4" ht="30.75" customHeight="1" thickBot="1">
      <c r="B3" s="37" t="s">
        <v>15</v>
      </c>
      <c r="C3" s="38" t="s">
        <v>43</v>
      </c>
      <c r="D3" s="38" t="s">
        <v>43</v>
      </c>
    </row>
    <row r="4" spans="2:4" ht="30.75" customHeight="1" thickBot="1">
      <c r="B4" s="37" t="s">
        <v>32</v>
      </c>
      <c r="C4" s="38" t="s">
        <v>43</v>
      </c>
      <c r="D4" s="38" t="s">
        <v>43</v>
      </c>
    </row>
    <row r="5" spans="2:4" ht="30.75" customHeight="1" thickBot="1">
      <c r="B5" s="37" t="s">
        <v>33</v>
      </c>
      <c r="C5" s="35">
        <f>Startup!E7+Startup!E9+Process!E7</f>
        <v>79</v>
      </c>
      <c r="D5" s="38">
        <f>IFERROR(Startup!R7+Startup!R9+Process!R7,0)</f>
        <v>0</v>
      </c>
    </row>
    <row r="6" spans="2:4" ht="30.75" customHeight="1" thickBot="1">
      <c r="B6" s="37" t="s">
        <v>34</v>
      </c>
      <c r="C6" s="38">
        <f>Startup!E8+Process!E9+Startup!E10</f>
        <v>79</v>
      </c>
      <c r="D6" s="38">
        <f>IFERROR(ROUND(((C6)/SUM($C$6:$C$8))*$D$5,0),0)</f>
        <v>0</v>
      </c>
    </row>
    <row r="7" spans="2:4" ht="30.75" customHeight="1" thickBot="1">
      <c r="B7" s="37" t="s">
        <v>35</v>
      </c>
      <c r="C7" s="38">
        <f>Startup!F8+Process!F9+Startup!F10</f>
        <v>0</v>
      </c>
      <c r="D7" s="38">
        <f>IFERROR(ROUND(((C7)/SUM($C$6:$C$8))*$D$5,0),0)</f>
        <v>0</v>
      </c>
    </row>
    <row r="8" spans="2:4" ht="30.75" customHeight="1" thickBot="1">
      <c r="B8" s="37" t="s">
        <v>36</v>
      </c>
      <c r="C8" s="38">
        <f>Startup!G8+Process!G9+Startup!G10</f>
        <v>0</v>
      </c>
      <c r="D8" s="38">
        <f>IFERROR(ROUND(((C8)/SUM($C$6:$C$8))*$D$5,0),0)</f>
        <v>0</v>
      </c>
    </row>
    <row r="9" spans="2:4" ht="30.75" customHeight="1" thickBot="1">
      <c r="B9" s="37" t="s">
        <v>37</v>
      </c>
      <c r="C9" s="35">
        <f>Process!E7</f>
        <v>15</v>
      </c>
      <c r="D9" s="38" t="str">
        <f>Process!R7</f>
        <v>0</v>
      </c>
    </row>
    <row r="10" spans="2:4" ht="30.75" customHeight="1" thickBot="1">
      <c r="B10" s="37" t="s">
        <v>38</v>
      </c>
      <c r="C10" s="35">
        <f>Startup!E7</f>
        <v>64</v>
      </c>
      <c r="D10" s="38">
        <f>IFERROR(Startup!R7,0)</f>
        <v>0</v>
      </c>
    </row>
    <row r="11" spans="2:4" ht="30.75" customHeight="1" thickBot="1">
      <c r="B11" s="37" t="s">
        <v>39</v>
      </c>
      <c r="C11" s="35" t="str">
        <f>Startup!E9</f>
        <v>0</v>
      </c>
      <c r="D11" s="38" t="str">
        <f>Startup!R9</f>
        <v>0</v>
      </c>
    </row>
    <row r="12" spans="2:4" ht="30.75" customHeight="1" thickBot="1">
      <c r="B12" s="37" t="s">
        <v>40</v>
      </c>
      <c r="C12" s="165">
        <f>COUNTA(Startup!I11:I284)</f>
        <v>2</v>
      </c>
      <c r="D12" s="166"/>
    </row>
    <row r="13" spans="2:4" ht="30.75" customHeight="1" thickBot="1">
      <c r="B13" s="37" t="s">
        <v>41</v>
      </c>
      <c r="C13" s="165">
        <f>COUNTA(Startup!J11:J284)</f>
        <v>3</v>
      </c>
      <c r="D13" s="166"/>
    </row>
    <row r="14" spans="2:4" ht="30.75" customHeight="1" thickBot="1">
      <c r="B14" s="37" t="s">
        <v>42</v>
      </c>
      <c r="C14" s="165">
        <f>COUNTA(Startup!H11:H284)</f>
        <v>4</v>
      </c>
      <c r="D14" s="166"/>
    </row>
    <row r="15" spans="2:4" ht="30.75" customHeight="1"/>
    <row r="16" spans="2:4" ht="30.75" customHeight="1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7"/>
  <sheetViews>
    <sheetView workbookViewId="0"/>
  </sheetViews>
  <sheetFormatPr defaultColWidth="9.125" defaultRowHeight="14.25"/>
  <cols>
    <col min="1" max="1" width="2.25" style="3" customWidth="1"/>
    <col min="2" max="2" width="21.5" style="5" customWidth="1"/>
    <col min="3" max="3" width="72.75" style="3" customWidth="1"/>
    <col min="4" max="16384" width="9.125" style="3"/>
  </cols>
  <sheetData>
    <row r="1" spans="1:5">
      <c r="A1" s="11"/>
    </row>
    <row r="2" spans="1:5" ht="123.75" customHeight="1" thickBot="1"/>
    <row r="3" spans="1:5" ht="24.95" customHeight="1">
      <c r="B3" s="167" t="s">
        <v>29</v>
      </c>
      <c r="C3" s="168"/>
    </row>
    <row r="4" spans="1:5" ht="24.95" customHeight="1">
      <c r="B4" s="6" t="s">
        <v>26</v>
      </c>
      <c r="C4" s="10" t="s">
        <v>50</v>
      </c>
      <c r="D4" s="4"/>
      <c r="E4" s="4"/>
    </row>
    <row r="5" spans="1:5" ht="24.95" customHeight="1">
      <c r="B5" s="6" t="s">
        <v>27</v>
      </c>
      <c r="C5" s="10" t="s">
        <v>51</v>
      </c>
    </row>
    <row r="6" spans="1:5" ht="24" customHeight="1">
      <c r="B6" s="6" t="s">
        <v>52</v>
      </c>
      <c r="C6" s="10">
        <v>8</v>
      </c>
    </row>
    <row r="7" spans="1:5" ht="33" customHeight="1" thickBot="1">
      <c r="B7" s="7"/>
      <c r="C7" s="8"/>
    </row>
  </sheetData>
  <sheetProtection password="D0D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619125</xdr:colOff>
                    <xdr:row>6</xdr:row>
                    <xdr:rowOff>38100</xdr:rowOff>
                  </from>
                  <to>
                    <xdr:col>2</xdr:col>
                    <xdr:colOff>5010150</xdr:colOff>
                    <xdr:row>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Startup</vt:lpstr>
      <vt:lpstr>Process</vt:lpstr>
      <vt:lpstr>Summary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Lenovo</cp:lastModifiedBy>
  <cp:revision/>
  <cp:lastPrinted>2025-10-25T20:08:17Z</cp:lastPrinted>
  <dcterms:created xsi:type="dcterms:W3CDTF">2025-09-09T11:13:22Z</dcterms:created>
  <dcterms:modified xsi:type="dcterms:W3CDTF">2025-11-18T12:56:25Z</dcterms:modified>
  <cp:category/>
  <cp:contentStatus/>
</cp:coreProperties>
</file>