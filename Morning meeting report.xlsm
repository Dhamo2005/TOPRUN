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384" firstSheet="1" activeTab="1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Startup!$A$4:$AA$222</definedName>
    <definedName name="_xleta.SUM" hidden="1" xlm="1">#NAME?</definedName>
    <definedName name="_xleta.TEXT" hidden="1" xlm="1">#NAME?</definedName>
    <definedName name="Startup">Startup!$A$5:$W$340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1" i="1" l="1"/>
  <c r="Y11" i="1"/>
  <c r="X11" i="1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G8" i="1"/>
  <c r="F8" i="1"/>
  <c r="E8" i="1"/>
  <c r="E7" i="1" s="1"/>
  <c r="E9" i="1"/>
  <c r="AA33" i="1"/>
  <c r="AA35" i="1"/>
  <c r="AA34" i="1"/>
  <c r="AA57" i="1"/>
  <c r="AA53" i="1"/>
  <c r="AA59" i="1"/>
  <c r="AA60" i="1"/>
  <c r="AA41" i="1"/>
  <c r="AA30" i="1"/>
  <c r="AA22" i="1"/>
  <c r="AA14" i="1"/>
  <c r="AA55" i="1"/>
  <c r="AA73" i="1"/>
  <c r="AA67" i="1"/>
  <c r="AA52" i="1"/>
  <c r="AA40" i="1"/>
  <c r="AA29" i="1"/>
  <c r="AA13" i="1"/>
  <c r="AA20" i="1"/>
  <c r="AA54" i="1"/>
  <c r="AA46" i="1"/>
  <c r="AA27" i="1"/>
  <c r="AA89" i="1"/>
  <c r="AA37" i="1"/>
  <c r="AA18" i="1"/>
  <c r="AA68" i="1"/>
  <c r="AA44" i="1"/>
  <c r="AA58" i="1"/>
  <c r="AA32" i="1"/>
  <c r="AA75" i="1"/>
  <c r="AA31" i="1"/>
  <c r="AA21" i="1"/>
  <c r="AA65" i="1"/>
  <c r="AA77" i="1"/>
  <c r="AA47" i="1"/>
  <c r="AA39" i="1"/>
  <c r="AA28" i="1"/>
  <c r="AA61" i="1"/>
  <c r="AA38" i="1"/>
  <c r="AA19" i="1"/>
  <c r="AA51" i="1"/>
  <c r="AA45" i="1"/>
  <c r="AA26" i="1"/>
  <c r="AA70" i="1"/>
  <c r="AA36" i="1"/>
  <c r="AA56" i="1"/>
  <c r="AA24" i="1"/>
  <c r="AA62" i="1"/>
  <c r="AA23" i="1"/>
  <c r="AA86" i="1"/>
  <c r="AA74" i="1"/>
  <c r="AA12" i="1"/>
  <c r="AA64" i="1"/>
  <c r="AA69" i="1"/>
  <c r="AA25" i="1"/>
  <c r="AA72" i="1"/>
  <c r="AA16" i="1"/>
  <c r="AA66" i="1"/>
  <c r="AA15" i="1"/>
  <c r="AA48" i="1"/>
  <c r="AA78" i="1"/>
  <c r="AA42" i="1"/>
  <c r="AA17" i="1"/>
  <c r="AA43" i="1"/>
  <c r="AA63" i="1"/>
  <c r="B2" i="4" l="1"/>
  <c r="AA212" i="1"/>
  <c r="AA132" i="1"/>
  <c r="AA121" i="1"/>
  <c r="AA187" i="1"/>
  <c r="AA196" i="1"/>
  <c r="AA206" i="1"/>
  <c r="AA148" i="1"/>
  <c r="AA209" i="1"/>
  <c r="AA264" i="1"/>
  <c r="AA134" i="1"/>
  <c r="AA223" i="1"/>
  <c r="AA260" i="1"/>
  <c r="AA164" i="1"/>
  <c r="AA197" i="1"/>
  <c r="AA181" i="1"/>
  <c r="AA249" i="1"/>
  <c r="AA111" i="1"/>
  <c r="AA235" i="1"/>
  <c r="AA131" i="1"/>
  <c r="AA217" i="1"/>
  <c r="AA113" i="1"/>
  <c r="AA185" i="1"/>
  <c r="AA238" i="1"/>
  <c r="AA143" i="1"/>
  <c r="AA147" i="1"/>
  <c r="AA204" i="1"/>
  <c r="AA150" i="1"/>
  <c r="AA194" i="1"/>
  <c r="AA268" i="1"/>
  <c r="AA231" i="1"/>
  <c r="AA213" i="1"/>
  <c r="AA265" i="1"/>
  <c r="AA119" i="1"/>
  <c r="AA225" i="1"/>
  <c r="AA141" i="1"/>
  <c r="AA233" i="1"/>
  <c r="AA162" i="1"/>
  <c r="AA202" i="1"/>
  <c r="AA125" i="1"/>
  <c r="AA243" i="1"/>
  <c r="AA210" i="1"/>
  <c r="AA123" i="1"/>
  <c r="AA149" i="1"/>
  <c r="AA118" i="1"/>
  <c r="AA214" i="1"/>
  <c r="AA257" i="1"/>
  <c r="AA220" i="1"/>
  <c r="AA242" i="1"/>
  <c r="AA145" i="1"/>
  <c r="AA224" i="1"/>
  <c r="AA263" i="1"/>
  <c r="AA254" i="1"/>
  <c r="AA255" i="1"/>
  <c r="AA156" i="1"/>
  <c r="AA124" i="1"/>
  <c r="AA159" i="1"/>
  <c r="AA130" i="1"/>
  <c r="AA247" i="1"/>
  <c r="AA180" i="1"/>
  <c r="AA177" i="1"/>
  <c r="AA198" i="1"/>
  <c r="AA165" i="1"/>
  <c r="AA182" i="1"/>
  <c r="AA128" i="1"/>
  <c r="AA244" i="1"/>
  <c r="AA136" i="1"/>
  <c r="AA258" i="1"/>
  <c r="AA183" i="1"/>
  <c r="AA178" i="1"/>
  <c r="AA157" i="1"/>
  <c r="AA174" i="1"/>
  <c r="AA252" i="1"/>
  <c r="AA129" i="1"/>
  <c r="AA117" i="1"/>
  <c r="AA261" i="1"/>
  <c r="AA241" i="1"/>
  <c r="AA270" i="1"/>
  <c r="AA167" i="1"/>
  <c r="AA191" i="1"/>
  <c r="AA186" i="1"/>
  <c r="AA232" i="1"/>
  <c r="AA166" i="1"/>
  <c r="AA140" i="1"/>
  <c r="AA240" i="1"/>
  <c r="AA190" i="1"/>
  <c r="AA161" i="1"/>
  <c r="AA201" i="1"/>
  <c r="AA253" i="1"/>
  <c r="AA205" i="1"/>
  <c r="AA114" i="1"/>
  <c r="AA154" i="1"/>
  <c r="AA126" i="1"/>
  <c r="AA218" i="1"/>
  <c r="AA199" i="1"/>
  <c r="AA120" i="1"/>
  <c r="AA175" i="1"/>
  <c r="AA219" i="1"/>
  <c r="AA163" i="1"/>
  <c r="AA250" i="1"/>
  <c r="AA116" i="1"/>
  <c r="AA193" i="1"/>
  <c r="AA144" i="1"/>
  <c r="AA189" i="1"/>
  <c r="AA139" i="1"/>
  <c r="AA251" i="1"/>
  <c r="AA215" i="1"/>
  <c r="AA192" i="1"/>
  <c r="AA170" i="1"/>
  <c r="AA135" i="1"/>
  <c r="AA208" i="1"/>
  <c r="AA173" i="1"/>
  <c r="AA169" i="1"/>
  <c r="AA155" i="1"/>
  <c r="AA267" i="1"/>
  <c r="AA259" i="1"/>
  <c r="AA188" i="1"/>
  <c r="AA172" i="1"/>
  <c r="AA207" i="1"/>
  <c r="AA222" i="1"/>
  <c r="AA211" i="1"/>
  <c r="AA230" i="1"/>
  <c r="AA234" i="1"/>
  <c r="AA171" i="1"/>
  <c r="AA160" i="1"/>
  <c r="AA142" i="1"/>
  <c r="AA152" i="1"/>
  <c r="AA262" i="1"/>
  <c r="AA221" i="1"/>
  <c r="AA127" i="1"/>
  <c r="AA122" i="1"/>
  <c r="AA176" i="1"/>
  <c r="AA256" i="1"/>
  <c r="AA184" i="1"/>
  <c r="AA115" i="1"/>
  <c r="AA229" i="1"/>
  <c r="AA203" i="1"/>
  <c r="AA266" i="1"/>
  <c r="AA179" i="1"/>
  <c r="AA245" i="1"/>
  <c r="AA236" i="1"/>
  <c r="AA133" i="1"/>
  <c r="AA246" i="1"/>
  <c r="AA227" i="1"/>
  <c r="AA195" i="1"/>
  <c r="AA237" i="1"/>
  <c r="AA248" i="1"/>
  <c r="AA151" i="1"/>
  <c r="AA158" i="1"/>
  <c r="AA200" i="1"/>
  <c r="AA239" i="1"/>
  <c r="AA228" i="1"/>
  <c r="AA226" i="1"/>
  <c r="AA137" i="1"/>
  <c r="AA146" i="1"/>
  <c r="AA153" i="1"/>
  <c r="AA168" i="1"/>
  <c r="AA138" i="1"/>
  <c r="AA269" i="1"/>
  <c r="AA106" i="1"/>
  <c r="AA109" i="1"/>
  <c r="AA107" i="1"/>
  <c r="AA110" i="1"/>
  <c r="AA108" i="1"/>
  <c r="AA105" i="1"/>
  <c r="AA103" i="1"/>
  <c r="AA104" i="1"/>
  <c r="AA102" i="1"/>
  <c r="AA101" i="1"/>
  <c r="AA112" i="1"/>
  <c r="AA95" i="1"/>
  <c r="AA100" i="1"/>
  <c r="AA92" i="1"/>
  <c r="AA85" i="1"/>
  <c r="AA94" i="1"/>
  <c r="AA99" i="1"/>
  <c r="AA11" i="1"/>
  <c r="AA96" i="1"/>
  <c r="AA49" i="1"/>
  <c r="AA98" i="1"/>
  <c r="AA91" i="1"/>
  <c r="AA88" i="1"/>
  <c r="AA79" i="1"/>
  <c r="AA90" i="1"/>
  <c r="AA97" i="1"/>
  <c r="AA87" i="1"/>
  <c r="AA80" i="1"/>
  <c r="AA81" i="1"/>
  <c r="AA71" i="1"/>
  <c r="AA76" i="1"/>
  <c r="AA83" i="1"/>
  <c r="AA93" i="1"/>
  <c r="AA50" i="1"/>
  <c r="AA84" i="1"/>
  <c r="AA82" i="1"/>
  <c r="C6" i="4" l="1"/>
  <c r="C8" i="4"/>
  <c r="C7" i="4"/>
  <c r="C13" i="4"/>
  <c r="C5" i="4" l="1"/>
  <c r="C14" i="4"/>
  <c r="C12" i="4"/>
  <c r="C9" i="4" l="1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<sst xmlns="http://schemas.openxmlformats.org/spreadsheetml/2006/main" count="81" uniqueCount="48">
  <si>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</si>
  <si>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</si>
  <si>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</si>
  <si>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</si>
  <si>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</si>
  <si>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</si>
  <si>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</si>
  <si>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</si>
  <si>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</si>
  <si>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</si>
  <si>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</si>
  <si>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</si>
  <si>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</si>
  <si>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</si>
  <si>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</si>
  <si>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</si>
  <si>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</si>
  <si>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</si>
  <si>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</si>
  <si>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</si>
  <si>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</si>
  <si>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</si>
  <si>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</si>
  <si>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</si>
  <si>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</si>
  <si>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</si>
  <si>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</si>
  <si>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</si>
  <si>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</si>
  <si>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</si>
  <si>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</si>
  <si>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</si>
  <si>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</si>
  <si>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</si>
  <si>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</si>
  <si>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</si>
  <si>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</si>
  <si>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</si>
  <si>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</si>
  <si>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</si>
  <si>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</si>
  <si>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</si>
  <si>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</si>
  <si>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</si>
  <si>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</si>
  <si>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</si>
  <si>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15.12.2025</t>
  </si>
  <si>
    <t>C:\Users\Lenovo\Desktop\DEC 2025\MORNING MEETING REPORT\15.12.2025.pptx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</si>
</sst>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b/>
      <sz val="14"/>
      <color rgb="FF339966"/>
      <name val="Aptos Narrow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21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7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2" fillId="6" borderId="33" xfId="0" applyNumberFormat="1" applyFont="1" applyFill="1" applyBorder="1" applyAlignment="1">
      <alignment horizontal="center" vertical="center" wrapText="1" readingOrder="1"/>
    </xf>
    <xf numFmtId="0" fontId="22" fillId="6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0" fontId="21" fillId="0" borderId="0" xfId="0" applyNumberFormat="1" applyFont="1"/>
    <xf numFmtId="0" fontId="23" fillId="7" borderId="33" xfId="0" applyFont="1" applyFill="1" applyBorder="1" applyAlignment="1">
      <alignment horizontal="center" vertical="center" wrapText="1" readingOrder="1"/>
    </xf>
    <xf numFmtId="0" fontId="24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0" fontId="17" fillId="0" borderId="0" xfId="0" applyFont="1" applyBorder="1" applyAlignment="1">
      <alignment horizontal="center" vertical="center" readingOrder="1"/>
    </xf>
    <xf numFmtId="0" fontId="16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5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1" fillId="4" borderId="0" xfId="0" applyNumberFormat="1" applyFont="1" applyFill="1" applyBorder="1" applyAlignment="1">
      <alignment horizontal="center" vertical="center" readingOrder="1"/>
    </xf>
    <xf numFmtId="0" fontId="16" fillId="0" borderId="0" xfId="0" applyFont="1" applyBorder="1" applyAlignment="1">
      <alignment horizontal="center" vertical="center" readingOrder="1"/>
    </xf>
    <xf numFmtId="0" fontId="17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5" fillId="0" borderId="19" xfId="0" applyNumberFormat="1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wrapText="1" readingOrder="1"/>
    </xf>
    <xf numFmtId="0" fontId="17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1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4" fillId="0" borderId="1" xfId="0" applyNumberFormat="1" applyFont="1" applyBorder="1" applyAlignment="1">
      <alignment horizontal="center" vertical="center" wrapText="1" readingOrder="1"/>
    </xf>
    <xf numFmtId="0" fontId="25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11" fillId="4" borderId="8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 readingOrder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 readingOrder="1"/>
    </xf>
    <xf numFmtId="49" fontId="0" fillId="0" borderId="0" xfId="0" applyNumberForma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6" fillId="0" borderId="0" xfId="0" applyFont="1"/>
    <xf numFmtId="0" fontId="26" fillId="0" borderId="0" xfId="0" applyFont="1" applyBorder="1" applyAlignment="1">
      <alignment horizontal="center" vertical="center" readingOrder="1"/>
    </xf>
    <xf numFmtId="49" fontId="21" fillId="0" borderId="1" xfId="0" applyNumberFormat="1" applyFont="1" applyBorder="1" applyAlignment="1">
      <alignment horizontal="center" vertical="center" wrapText="1" readingOrder="1"/>
    </xf>
    <xf numFmtId="49" fontId="21" fillId="0" borderId="0" xfId="0" applyNumberFormat="1" applyFont="1" applyBorder="1" applyAlignment="1">
      <alignment horizontal="center" vertical="center" wrapText="1" readingOrder="1"/>
    </xf>
    <xf numFmtId="0" fontId="27" fillId="0" borderId="0" xfId="0" applyFont="1" applyBorder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7" fillId="0" borderId="0" xfId="0" applyNumberFormat="1" applyFont="1" applyBorder="1"/>
    <xf numFmtId="0" fontId="26" fillId="0" borderId="0" xfId="0" applyFont="1" applyBorder="1"/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4" fillId="0" borderId="2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2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21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4" fillId="0" borderId="35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67517</xdr:rowOff>
    </xdr:from>
    <xdr:to>
      <xdr:col>26</xdr:col>
      <xdr:colOff>9525</xdr:colOff>
      <xdr:row>3</xdr:row>
      <xdr:rowOff>83344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67517"/>
          <a:ext cx="14499431" cy="55160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159088</xdr:colOff>
          <xdr:row>1</xdr:row>
          <xdr:rowOff>2802</xdr:rowOff>
        </xdr:from>
        <xdr:to>
          <xdr:col>28</xdr:col>
          <xdr:colOff>408213</xdr:colOff>
          <xdr:row>4</xdr:row>
          <xdr:rowOff>120367</xdr:rowOff>
        </xdr:to>
        <xdr:grpSp>
          <xdr:nvGrpSpPr>
            <xdr:cNvPr id="4" name="Group 3"/>
            <xdr:cNvGrpSpPr/>
          </xdr:nvGrpSpPr>
          <xdr:grpSpPr>
            <a:xfrm>
              <a:off x="14882017" y="152481"/>
              <a:ext cx="2276589" cy="757100"/>
              <a:chOff x="14681908" y="148478"/>
              <a:chExt cx="2285976" cy="756402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4681908" y="148478"/>
                <a:ext cx="1174383" cy="756402"/>
                <a:chOff x="16792477" y="76200"/>
                <a:chExt cx="649390" cy="675159"/>
              </a:xfrm>
              <a:solidFill>
                <a:schemeClr val="accent2"/>
              </a:solidFill>
              <a:effectLst>
                <a:outerShdw blurRad="50800" dist="38100" dir="2700000" algn="tl" rotWithShape="0">
                  <a:schemeClr val="accent3">
                    <a:alpha val="40000"/>
                  </a:schemeClr>
                </a:outerShdw>
              </a:effectLst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</a:extLst>
                </xdr:cNvPr>
                <xdr:cNvSpPr/>
              </xdr:nvSpPr>
              <xdr:spPr bwMode="auto">
                <a:xfrm>
                  <a:off x="16792477" y="76200"/>
                  <a:ext cx="649390" cy="27230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</a:extLst>
                </xdr:cNvPr>
                <xdr:cNvSpPr/>
              </xdr:nvSpPr>
              <xdr:spPr bwMode="auto">
                <a:xfrm>
                  <a:off x="16802039" y="457205"/>
                  <a:ext cx="633647" cy="294154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5979110" y="155201"/>
                <a:ext cx="983345" cy="3047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5989975" y="579483"/>
                <a:ext cx="977909" cy="3150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339966"/>
                    </a:solidFill>
                    <a:latin typeface="Aptos Narrow"/>
                  </a:rPr>
                  <a:t>ADD -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461377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UNDER CUT			4) BLACK MARK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OIL MARK	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CONTAMINATION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9) WELD DAMAGE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SINK ISSUE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965</xdr:colOff>
          <xdr:row>0</xdr:row>
          <xdr:rowOff>108097</xdr:rowOff>
        </xdr:from>
        <xdr:to>
          <xdr:col>22</xdr:col>
          <xdr:colOff>9291</xdr:colOff>
          <xdr:row>3</xdr:row>
          <xdr:rowOff>22420</xdr:rowOff>
        </xdr:to>
        <xdr:grpSp>
          <xdr:nvGrpSpPr>
            <xdr:cNvPr id="4" name="Group 3"/>
            <xdr:cNvGrpSpPr/>
          </xdr:nvGrpSpPr>
          <xdr:grpSpPr>
            <a:xfrm>
              <a:off x="11845583" y="108097"/>
              <a:ext cx="2428796" cy="564264"/>
              <a:chOff x="11898093" y="108136"/>
              <a:chExt cx="2013494" cy="567422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1898093" y="108136"/>
                <a:ext cx="1083135" cy="567417"/>
                <a:chOff x="14320374" y="209580"/>
                <a:chExt cx="1073304" cy="914403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</a:extLst>
                </xdr:cNvPr>
                <xdr:cNvSpPr/>
              </xdr:nvSpPr>
              <xdr:spPr bwMode="auto">
                <a:xfrm>
                  <a:off x="14320374" y="209580"/>
                  <a:ext cx="1073301" cy="37147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</a:extLst>
                </xdr:cNvPr>
                <xdr:cNvSpPr/>
              </xdr:nvSpPr>
              <xdr:spPr bwMode="auto">
                <a:xfrm>
                  <a:off x="14320374" y="733458"/>
                  <a:ext cx="1073304" cy="39052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067304" y="438908"/>
                <a:ext cx="844283" cy="236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ADD -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13062764" y="108824"/>
                <a:ext cx="846525" cy="2286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6</xdr:row>
          <xdr:rowOff>38100</xdr:rowOff>
        </xdr:from>
        <xdr:to>
          <xdr:col>2</xdr:col>
          <xdr:colOff>5010150</xdr:colOff>
          <xdr:row>6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11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389"/>
  <sheetViews>
    <sheetView tabSelected="1" zoomScale="70" zoomScaleNormal="70" workbookViewId="0">
      <pane ySplit="6" topLeftCell="A7" activePane="bottomLeft" state="frozen"/>
      <selection pane="bottomLeft" activeCell="E21" sqref="E21"/>
    </sheetView>
  </sheetViews>
  <sheetFormatPr defaultColWidth="39.125" defaultRowHeight="22.5" customHeight="1"/>
  <cols>
    <col min="1" max="1" width="5.5" style="2" bestFit="1" customWidth="1"/>
    <col min="2" max="2" width="6.625" style="1" bestFit="1" customWidth="1"/>
    <col min="3" max="3" width="7.125" style="1" bestFit="1" customWidth="1"/>
    <col min="4" max="4" width="31.125" style="90" bestFit="1" customWidth="1"/>
    <col min="5" max="7" width="5.625" style="17" customWidth="1"/>
    <col min="8" max="8" width="5.625" style="100" customWidth="1"/>
    <col min="9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4" width="5.625" style="19" customWidth="1"/>
    <col min="25" max="25" width="6.875" style="19" customWidth="1"/>
    <col min="26" max="26" width="5.625" style="19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20.100000000000001" customHeight="1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  <c r="U4" s="136" t="s">
        <v>25</v>
      </c>
      <c r="V4" s="136"/>
      <c r="W4" s="136"/>
      <c r="X4" s="136" t="s">
        <v>30</v>
      </c>
      <c r="Y4" s="136"/>
      <c r="Z4" s="136"/>
    </row>
    <row r="5" spans="1:28" ht="20.100000000000001" customHeight="1">
      <c r="A5" s="153" t="s">
        <v>0</v>
      </c>
      <c r="B5" s="153" t="s">
        <v>1</v>
      </c>
      <c r="C5" s="153" t="s">
        <v>2</v>
      </c>
      <c r="D5" s="164" t="s">
        <v>3</v>
      </c>
      <c r="E5" s="166" t="s">
        <v>4</v>
      </c>
      <c r="F5" s="167"/>
      <c r="G5" s="168"/>
      <c r="H5" s="153" t="s">
        <v>5</v>
      </c>
      <c r="I5" s="153" t="s">
        <v>6</v>
      </c>
      <c r="J5" s="153" t="s">
        <v>7</v>
      </c>
      <c r="K5" s="153" t="s">
        <v>8</v>
      </c>
      <c r="L5" s="153" t="s">
        <v>9</v>
      </c>
      <c r="M5" s="153" t="s">
        <v>10</v>
      </c>
      <c r="N5" s="153" t="s">
        <v>11</v>
      </c>
      <c r="O5" s="153" t="s">
        <v>12</v>
      </c>
      <c r="P5" s="153" t="s">
        <v>13</v>
      </c>
      <c r="Q5" s="153" t="s">
        <v>14</v>
      </c>
      <c r="R5" s="142" t="s">
        <v>15</v>
      </c>
      <c r="S5" s="142" t="s">
        <v>16</v>
      </c>
      <c r="T5" s="142" t="s">
        <v>24</v>
      </c>
      <c r="U5" s="142" t="s">
        <v>17</v>
      </c>
      <c r="V5" s="142" t="s">
        <v>18</v>
      </c>
      <c r="W5" s="142" t="s">
        <v>19</v>
      </c>
      <c r="X5" s="137" t="s">
        <v>17</v>
      </c>
      <c r="Y5" s="137" t="s">
        <v>18</v>
      </c>
      <c r="Z5" s="137" t="s">
        <v>19</v>
      </c>
    </row>
    <row r="6" spans="1:28" ht="20.100000000000001" customHeight="1">
      <c r="A6" s="154"/>
      <c r="B6" s="154"/>
      <c r="C6" s="154"/>
      <c r="D6" s="165"/>
      <c r="E6" s="21" t="s">
        <v>17</v>
      </c>
      <c r="F6" s="22" t="s">
        <v>18</v>
      </c>
      <c r="G6" s="22" t="s">
        <v>19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43"/>
      <c r="S6" s="143"/>
      <c r="T6" s="143"/>
      <c r="U6" s="143"/>
      <c r="V6" s="143"/>
      <c r="W6" s="143"/>
      <c r="X6" s="138"/>
      <c r="Y6" s="138"/>
      <c r="Z6" s="138"/>
      <c r="AA6" s="40" t="s">
        <v>44</v>
      </c>
    </row>
    <row r="7" spans="1:28" ht="20.25" customHeight="1">
      <c r="A7" s="155" t="s">
        <v>20</v>
      </c>
      <c r="B7" s="156"/>
      <c r="C7" s="156"/>
      <c r="D7" s="157"/>
      <c r="E7" s="161" t="str">
        <f>EvalPower(E8:G8)</f>
        <v>0</v>
      </c>
      <c r="F7" s="162"/>
      <c r="G7" s="163"/>
      <c r="H7" s="149" t="str">
        <f>EvalMath(H11:H99)</f>
        <v>-</v>
      </c>
      <c r="I7" s="149" t="str">
        <f>EvalMath(I11:I99)</f>
        <v>-</v>
      </c>
      <c r="J7" s="149" t="str">
        <f>EvalMath(J11:J99)</f>
        <v>-</v>
      </c>
      <c r="K7" s="149" t="str">
        <f>EvalMath(K11:K99)</f>
        <v>-</v>
      </c>
      <c r="L7" s="149" t="str">
        <f>EvalMath(L11:L99)</f>
        <v>-</v>
      </c>
      <c r="M7" s="149" t="str">
        <f>EvalMath(M11:M99)</f>
        <v>-</v>
      </c>
      <c r="N7" s="149" t="str">
        <f>EvalMath(N11:N99)</f>
        <v>-</v>
      </c>
      <c r="O7" s="149" t="str">
        <f>EvalMath(O11:O99)</f>
        <v>-</v>
      </c>
      <c r="P7" s="149" t="s">
        <v>43</v>
      </c>
      <c r="Q7" s="149" t="str">
        <f>EvalMath(Q11:Q99)</f>
        <v>-</v>
      </c>
      <c r="R7" s="134">
        <f>EvalPower(R11:R99)-R9</f>
        <v>0</v>
      </c>
      <c r="S7" s="145"/>
      <c r="T7" s="140"/>
      <c r="U7" s="144" t="str">
        <f>EvalPower(U11:U99)</f>
        <v>0</v>
      </c>
      <c r="V7" s="144" t="str">
        <f>EvalPower(V11:V99)</f>
        <v>0</v>
      </c>
      <c r="W7" s="144" t="str">
        <f>EvalPower(W11:W99)</f>
        <v>0</v>
      </c>
      <c r="X7" s="139" t="str">
        <f>EvalPower(X11:X100)</f>
        <v>0</v>
      </c>
      <c r="Y7" s="139" t="str">
        <f>EvalPower(Y11:Y100)</f>
        <v>0</v>
      </c>
      <c r="Z7" s="139" t="str">
        <f>EvalPower(Z11:Z100)</f>
        <v>0</v>
      </c>
      <c r="AA7"/>
    </row>
    <row r="8" spans="1:28" ht="17.25" customHeight="1">
      <c r="A8" s="158"/>
      <c r="B8" s="159"/>
      <c r="C8" s="159"/>
      <c r="D8" s="160"/>
      <c r="E8" s="16">
        <f>EvalPower(E11:E99)-E10</f>
        <v>0</v>
      </c>
      <c r="F8" s="16">
        <f>EvalPower(F11:F99)-F10</f>
        <v>0</v>
      </c>
      <c r="G8" s="16">
        <f>EvalPower(G11:G99)-G10</f>
        <v>0</v>
      </c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35"/>
      <c r="S8" s="146"/>
      <c r="T8" s="141"/>
      <c r="U8" s="141"/>
      <c r="V8" s="141"/>
      <c r="W8" s="141"/>
      <c r="X8" s="135"/>
      <c r="Y8" s="135"/>
      <c r="Z8" s="135"/>
    </row>
    <row r="9" spans="1:28" ht="20.100000000000001" customHeight="1">
      <c r="A9" s="155" t="s">
        <v>21</v>
      </c>
      <c r="B9" s="156"/>
      <c r="C9" s="156"/>
      <c r="D9" s="157"/>
      <c r="E9" s="172" t="str">
        <f>EvalPower(E10:G10)</f>
        <v>0</v>
      </c>
      <c r="F9" s="173"/>
      <c r="G9" s="174"/>
      <c r="H9" s="151"/>
      <c r="I9" s="151"/>
      <c r="J9" s="151"/>
      <c r="K9" s="151"/>
      <c r="L9" s="151"/>
      <c r="M9" s="151"/>
      <c r="N9" s="151"/>
      <c r="O9" s="151"/>
      <c r="P9" s="151" t="str">
        <f>EvalMath(P11:P99)</f>
        <v>-</v>
      </c>
      <c r="Q9" s="151"/>
      <c r="R9" s="140" t="str">
        <f>EvalPower(X7:Z8)</f>
        <v>0</v>
      </c>
      <c r="S9" s="147"/>
      <c r="T9" s="145"/>
      <c r="U9" s="140"/>
      <c r="V9" s="140"/>
      <c r="W9" s="140"/>
      <c r="X9" s="134"/>
      <c r="Y9" s="134"/>
      <c r="Z9" s="134"/>
    </row>
    <row r="10" spans="1:28" ht="19.5" customHeight="1">
      <c r="A10" s="169"/>
      <c r="B10" s="170"/>
      <c r="C10" s="170"/>
      <c r="D10" s="171"/>
      <c r="E10" s="23" t="str">
        <f>U7</f>
        <v>0</v>
      </c>
      <c r="F10" s="23" t="str">
        <f>V7</f>
        <v>0</v>
      </c>
      <c r="G10" s="23" t="str">
        <f>W7</f>
        <v>0</v>
      </c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41"/>
      <c r="S10" s="148"/>
      <c r="T10" s="146"/>
      <c r="U10" s="141"/>
      <c r="V10" s="141"/>
      <c r="W10" s="141"/>
      <c r="X10" s="135"/>
      <c r="Y10" s="135"/>
      <c r="Z10" s="135"/>
      <c r="AB10" s="20"/>
    </row>
    <row r="11" spans="1:28" ht="22.5" customHeight="1">
      <c r="A11" s="72">
        <v>1</v>
      </c>
      <c r="B11" s="73"/>
      <c r="C11" s="72"/>
      <c r="D11" s="72"/>
      <c r="E11" s="70"/>
      <c r="F11" s="71"/>
      <c r="G11" s="70"/>
      <c r="H11" s="12"/>
      <c r="I11" s="12"/>
      <c r="J11" s="12"/>
      <c r="K11" s="12"/>
      <c r="L11" s="12"/>
      <c r="M11" s="12"/>
      <c r="N11" s="12"/>
      <c r="O11" s="12"/>
      <c r="P11" s="12"/>
      <c r="Q11" s="13"/>
      <c r="R11" s="18">
        <f>(EvalPower(E11:G11)*T11)</f>
        <v>0</v>
      </c>
      <c r="S11" s="12"/>
      <c r="T11" s="15"/>
      <c r="U11" s="15"/>
      <c r="V11" s="15"/>
      <c r="W11" s="15"/>
      <c r="X11" s="18">
        <f>U11*T11</f>
        <v>0</v>
      </c>
      <c r="Y11" s="18">
        <f>V11*T11</f>
        <v>0</v>
      </c>
      <c r="Z11" s="18">
        <f>W11*T11</f>
        <v>0</v>
      </c>
      <c r="AA11" s="36" t="str">
        <f t="shared" ref="AA11:AA112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2.5" customHeight="1">
      <c r="A12" s="72"/>
      <c r="B12" s="73"/>
      <c r="C12" s="72"/>
      <c r="D12" s="72"/>
      <c r="E12" s="89"/>
      <c r="F12" s="71"/>
      <c r="G12" s="70"/>
      <c r="H12" s="12"/>
      <c r="I12" s="12"/>
      <c r="J12" s="12"/>
      <c r="K12" s="12"/>
      <c r="L12" s="12"/>
      <c r="M12" s="12"/>
      <c r="N12" s="12"/>
      <c r="O12" s="12"/>
      <c r="P12" s="12"/>
      <c r="Q12" s="13"/>
      <c r="R12" s="18"/>
      <c r="S12" s="12"/>
      <c r="T12" s="15"/>
      <c r="U12" s="15"/>
      <c r="V12" s="15"/>
      <c r="W12" s="15"/>
      <c r="X12" s="18"/>
      <c r="Y12" s="18"/>
      <c r="Z12" s="18"/>
      <c r="AA12" s="36" t="str">
        <f t="shared" ref="AA12:AA18" si="1"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2.5" customHeight="1">
      <c r="A13" s="72"/>
      <c r="B13" s="73"/>
      <c r="C13" s="72"/>
      <c r="D13" s="72"/>
      <c r="E13" s="89"/>
      <c r="F13" s="71"/>
      <c r="G13" s="70"/>
      <c r="H13" s="12"/>
      <c r="I13" s="12"/>
      <c r="J13" s="12"/>
      <c r="K13" s="12"/>
      <c r="L13" s="12"/>
      <c r="M13" s="12"/>
      <c r="N13" s="12"/>
      <c r="O13" s="12"/>
      <c r="P13" s="12"/>
      <c r="Q13" s="13"/>
      <c r="R13" s="18"/>
      <c r="S13" s="12"/>
      <c r="T13" s="15"/>
      <c r="U13" s="15"/>
      <c r="V13" s="15"/>
      <c r="W13" s="15"/>
      <c r="X13" s="18"/>
      <c r="Y13" s="18"/>
      <c r="Z13" s="18"/>
      <c r="AA13" s="36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2.5" customHeight="1">
      <c r="A14" s="72"/>
      <c r="B14" s="73"/>
      <c r="C14" s="72"/>
      <c r="D14" s="72"/>
      <c r="E14" s="89"/>
      <c r="F14" s="71"/>
      <c r="G14" s="70"/>
      <c r="H14" s="12"/>
      <c r="I14" s="12"/>
      <c r="J14" s="12"/>
      <c r="K14" s="12"/>
      <c r="L14" s="12"/>
      <c r="M14" s="12"/>
      <c r="N14" s="12"/>
      <c r="O14" s="12"/>
      <c r="P14" s="12"/>
      <c r="Q14" s="13"/>
      <c r="R14" s="18"/>
      <c r="S14" s="12"/>
      <c r="T14" s="15"/>
      <c r="U14" s="15"/>
      <c r="V14" s="15"/>
      <c r="W14" s="15"/>
      <c r="X14" s="18"/>
      <c r="Y14" s="18"/>
      <c r="Z14" s="18"/>
      <c r="AA14" s="36" t="str">
        <f t="shared" si="1"/>
        <v/>
      </c>
    </row>
    <row r="15" spans="1:28" ht="22.5" customHeight="1">
      <c r="A15" s="72"/>
      <c r="B15" s="73"/>
      <c r="C15" s="72"/>
      <c r="D15" s="72"/>
      <c r="E15" s="89"/>
      <c r="F15" s="71"/>
      <c r="G15" s="70"/>
      <c r="H15" s="12"/>
      <c r="I15" s="12"/>
      <c r="J15" s="12"/>
      <c r="K15" s="12"/>
      <c r="L15" s="12"/>
      <c r="M15" s="12"/>
      <c r="N15" s="12"/>
      <c r="O15" s="12"/>
      <c r="P15" s="12"/>
      <c r="Q15" s="13"/>
      <c r="R15" s="18"/>
      <c r="S15" s="12"/>
      <c r="T15" s="15"/>
      <c r="U15" s="15"/>
      <c r="V15" s="15"/>
      <c r="W15" s="15"/>
      <c r="X15" s="18"/>
      <c r="Y15" s="18"/>
      <c r="Z15" s="18"/>
      <c r="AA15" s="36" t="str">
        <f t="shared" si="1"/>
        <v/>
      </c>
    </row>
    <row r="16" spans="1:28" ht="22.5" customHeight="1">
      <c r="A16" s="12"/>
      <c r="B16" s="73"/>
      <c r="C16" s="72"/>
      <c r="D16" s="72"/>
      <c r="E16" s="71"/>
      <c r="F16" s="89"/>
      <c r="G16" s="89"/>
      <c r="H16" s="12"/>
      <c r="I16" s="12"/>
      <c r="J16" s="12"/>
      <c r="K16" s="12"/>
      <c r="L16" s="12"/>
      <c r="M16" s="12"/>
      <c r="N16" s="12"/>
      <c r="O16" s="12"/>
      <c r="P16" s="12"/>
      <c r="Q16" s="13"/>
      <c r="R16" s="18"/>
      <c r="S16" s="12"/>
      <c r="T16" s="15"/>
      <c r="U16" s="15"/>
      <c r="V16" s="15"/>
      <c r="W16" s="15"/>
      <c r="X16" s="18"/>
      <c r="Y16" s="18"/>
      <c r="Z16" s="18"/>
      <c r="AA16" s="36" t="str">
        <f t="shared" si="1"/>
        <v/>
      </c>
    </row>
    <row r="17" spans="1:27" ht="22.5" customHeight="1">
      <c r="A17" s="12"/>
      <c r="B17" s="73"/>
      <c r="C17" s="72"/>
      <c r="D17" s="72"/>
      <c r="E17" s="71"/>
      <c r="F17" s="89"/>
      <c r="G17" s="89"/>
      <c r="H17" s="12"/>
      <c r="I17" s="12"/>
      <c r="J17" s="12"/>
      <c r="K17" s="12"/>
      <c r="L17" s="12"/>
      <c r="M17" s="12"/>
      <c r="N17" s="12"/>
      <c r="O17" s="12"/>
      <c r="P17" s="12"/>
      <c r="Q17" s="13"/>
      <c r="R17" s="18"/>
      <c r="S17" s="12"/>
      <c r="T17" s="15"/>
      <c r="U17" s="15"/>
      <c r="V17" s="15"/>
      <c r="W17" s="15"/>
      <c r="X17" s="18"/>
      <c r="Y17" s="18"/>
      <c r="Z17" s="18"/>
      <c r="AA17" s="36" t="str">
        <f t="shared" si="1"/>
        <v/>
      </c>
    </row>
    <row r="18" spans="1:27" ht="22.5" customHeight="1">
      <c r="A18" s="12"/>
      <c r="B18" s="73"/>
      <c r="C18" s="72"/>
      <c r="D18" s="72"/>
      <c r="E18" s="71"/>
      <c r="F18" s="89"/>
      <c r="G18" s="89"/>
      <c r="H18" s="12"/>
      <c r="I18" s="12"/>
      <c r="J18" s="12"/>
      <c r="K18" s="12"/>
      <c r="L18" s="12"/>
      <c r="M18" s="12"/>
      <c r="N18" s="12"/>
      <c r="O18" s="12"/>
      <c r="P18" s="12"/>
      <c r="Q18" s="13"/>
      <c r="R18" s="18"/>
      <c r="S18" s="12"/>
      <c r="T18" s="15"/>
      <c r="U18" s="15"/>
      <c r="V18" s="15"/>
      <c r="W18" s="15"/>
      <c r="X18" s="18"/>
      <c r="Y18" s="18"/>
      <c r="Z18" s="18"/>
      <c r="AA18" s="36" t="str">
        <f t="shared" si="1"/>
        <v/>
      </c>
    </row>
    <row r="19" spans="1:27" ht="22.5" customHeight="1">
      <c r="A19" s="12"/>
      <c r="B19" s="73"/>
      <c r="C19" s="72"/>
      <c r="D19" s="72"/>
      <c r="E19" s="71"/>
      <c r="F19" s="89"/>
      <c r="G19" s="89"/>
      <c r="H19" s="12"/>
      <c r="I19" s="12"/>
      <c r="J19" s="12"/>
      <c r="K19" s="12"/>
      <c r="L19" s="12"/>
      <c r="M19" s="12"/>
      <c r="N19" s="12"/>
      <c r="O19" s="12"/>
      <c r="P19" s="12"/>
      <c r="Q19" s="13"/>
      <c r="R19" s="18"/>
      <c r="S19" s="12"/>
      <c r="T19" s="15"/>
      <c r="U19" s="15"/>
      <c r="V19" s="15"/>
      <c r="W19" s="15"/>
      <c r="X19" s="18"/>
      <c r="Y19" s="18"/>
      <c r="Z19" s="18"/>
      <c r="AA19" s="36" t="str">
        <f t="shared" ref="AA19:AA47" si="2"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2.5" customHeight="1">
      <c r="A20" s="12"/>
      <c r="B20" s="73"/>
      <c r="C20" s="72"/>
      <c r="D20" s="72"/>
      <c r="E20" s="71"/>
      <c r="F20" s="89"/>
      <c r="G20" s="89"/>
      <c r="H20" s="12"/>
      <c r="I20" s="12"/>
      <c r="J20" s="12"/>
      <c r="K20" s="12"/>
      <c r="L20" s="12"/>
      <c r="M20" s="12"/>
      <c r="N20" s="12"/>
      <c r="O20" s="12"/>
      <c r="P20" s="12"/>
      <c r="Q20" s="13"/>
      <c r="R20" s="18"/>
      <c r="S20" s="12"/>
      <c r="T20" s="15"/>
      <c r="U20" s="15"/>
      <c r="V20" s="15"/>
      <c r="W20" s="15"/>
      <c r="X20" s="18"/>
      <c r="Y20" s="18"/>
      <c r="Z20" s="18"/>
      <c r="AA20" s="36" t="str">
        <f>IF(AND(EvalPower(E20:G20)=EvalPower(H20:Q20), EvalPower(P20)=EvalPower(U20:W20)), "", IF(AND(EvalPower(E20:G20)&lt;&gt;EvalPower(H20:Q20), EvalPower(P20)&lt;&gt;EvalPower(U20:W20)), "NG Total and Power total both mistake", IF(EvalPower(E20:G20)&lt;&gt;EvalPower(H20:Q20), "TOTAL ERROR", "POWER CUT ERROR!")))</f>
        <v/>
      </c>
    </row>
    <row r="21" spans="1:27" ht="22.5" customHeight="1">
      <c r="A21" s="12"/>
      <c r="B21" s="73"/>
      <c r="C21" s="72"/>
      <c r="D21" s="72"/>
      <c r="E21" s="71"/>
      <c r="F21" s="89"/>
      <c r="G21" s="89"/>
      <c r="H21" s="12"/>
      <c r="I21" s="12"/>
      <c r="J21" s="12"/>
      <c r="K21" s="12"/>
      <c r="L21" s="12"/>
      <c r="M21" s="12"/>
      <c r="N21" s="12"/>
      <c r="O21" s="12"/>
      <c r="P21" s="12"/>
      <c r="Q21" s="13"/>
      <c r="R21" s="18"/>
      <c r="S21" s="12"/>
      <c r="T21" s="15"/>
      <c r="U21" s="15"/>
      <c r="V21" s="15"/>
      <c r="W21" s="15"/>
      <c r="X21" s="18"/>
      <c r="Y21" s="18"/>
      <c r="Z21" s="18"/>
      <c r="AA21" s="36" t="str">
        <f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2.5" customHeight="1">
      <c r="A22" s="12"/>
      <c r="B22" s="73"/>
      <c r="C22" s="72"/>
      <c r="D22" s="72"/>
      <c r="E22" s="71"/>
      <c r="F22" s="89"/>
      <c r="G22" s="89"/>
      <c r="H22" s="12"/>
      <c r="I22" s="12"/>
      <c r="J22" s="12"/>
      <c r="K22" s="12"/>
      <c r="L22" s="12"/>
      <c r="M22" s="12"/>
      <c r="N22" s="12"/>
      <c r="O22" s="12"/>
      <c r="P22" s="12"/>
      <c r="Q22" s="13"/>
      <c r="R22" s="18"/>
      <c r="S22" s="12"/>
      <c r="T22" s="15"/>
      <c r="U22" s="15"/>
      <c r="V22" s="15"/>
      <c r="W22" s="15"/>
      <c r="X22" s="18"/>
      <c r="Y22" s="18"/>
      <c r="Z22" s="18"/>
      <c r="AA22" s="36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2.5" customHeight="1">
      <c r="A23" s="12"/>
      <c r="B23" s="73"/>
      <c r="C23" s="72"/>
      <c r="D23" s="72"/>
      <c r="E23" s="71"/>
      <c r="F23" s="89"/>
      <c r="G23" s="89"/>
      <c r="H23" s="12"/>
      <c r="I23" s="12"/>
      <c r="J23" s="12"/>
      <c r="K23" s="12"/>
      <c r="L23" s="12"/>
      <c r="M23" s="12"/>
      <c r="N23" s="12"/>
      <c r="O23" s="12"/>
      <c r="P23" s="12"/>
      <c r="Q23" s="13"/>
      <c r="R23" s="18"/>
      <c r="S23" s="12"/>
      <c r="T23" s="15"/>
      <c r="U23" s="15"/>
      <c r="V23" s="15"/>
      <c r="W23" s="15"/>
      <c r="X23" s="18"/>
      <c r="Y23" s="18"/>
      <c r="Z23" s="18"/>
      <c r="AA23" s="36" t="str">
        <f>IF(AND(EvalPower(E23:G23)=EvalPower(H23:Q23), EvalPower(P23)=EvalPower(U23:W23)), "", IF(AND(EvalPower(E23:G23)&lt;&gt;EvalPower(H23:Q23), EvalPower(P23)&lt;&gt;EvalPower(U23:W23)), "NG Total and Power total both mistake", IF(EvalPower(E23:G23)&lt;&gt;EvalPower(H23:Q23), "TOTAL ERROR", "POWER CUT ERROR!")))</f>
        <v/>
      </c>
    </row>
    <row r="24" spans="1:27" ht="22.5" customHeight="1">
      <c r="A24" s="12"/>
      <c r="B24" s="73"/>
      <c r="C24" s="72"/>
      <c r="D24" s="72"/>
      <c r="E24" s="71"/>
      <c r="F24" s="89"/>
      <c r="G24" s="89"/>
      <c r="H24" s="12"/>
      <c r="I24" s="12"/>
      <c r="J24" s="12"/>
      <c r="K24" s="12"/>
      <c r="L24" s="12"/>
      <c r="M24" s="12"/>
      <c r="N24" s="12"/>
      <c r="O24" s="12"/>
      <c r="P24" s="12"/>
      <c r="Q24" s="13"/>
      <c r="R24" s="18"/>
      <c r="S24" s="12"/>
      <c r="T24" s="15"/>
      <c r="U24" s="15"/>
      <c r="V24" s="15"/>
      <c r="W24" s="15"/>
      <c r="X24" s="18"/>
      <c r="Y24" s="18"/>
      <c r="Z24" s="18"/>
      <c r="AA24" s="36" t="str">
        <f t="shared" si="2"/>
        <v/>
      </c>
    </row>
    <row r="25" spans="1:27" ht="22.5" customHeight="1">
      <c r="A25" s="12"/>
      <c r="B25" s="73"/>
      <c r="C25" s="72"/>
      <c r="D25" s="72"/>
      <c r="E25" s="71"/>
      <c r="F25" s="89"/>
      <c r="G25" s="89"/>
      <c r="H25" s="12"/>
      <c r="I25" s="12"/>
      <c r="J25" s="12"/>
      <c r="K25" s="12"/>
      <c r="L25" s="12"/>
      <c r="M25" s="12"/>
      <c r="N25" s="12"/>
      <c r="O25" s="12"/>
      <c r="P25" s="12"/>
      <c r="Q25" s="13"/>
      <c r="R25" s="18"/>
      <c r="S25" s="12"/>
      <c r="T25" s="15"/>
      <c r="U25" s="15"/>
      <c r="V25" s="15"/>
      <c r="W25" s="15"/>
      <c r="X25" s="18"/>
      <c r="Y25" s="18"/>
      <c r="Z25" s="18"/>
      <c r="AA25" s="36" t="str">
        <f t="shared" ref="AA25:AA36" si="3">IF(AND(EvalPower(E25:G25)=EvalPower(H25:Q25), EvalPower(P25)=EvalPower(U25:W25)), "", IF(AND(EvalPower(E25:G25)&lt;&gt;EvalPower(H25:Q25), EvalPower(P25)&lt;&gt;EvalPower(U25:W25)), "NG Total and Power total both mistake", IF(EvalPower(E25:G25)&lt;&gt;EvalPower(H25:Q25), "TOTAL ERROR", "POWER CUT ERROR!")))</f>
        <v/>
      </c>
    </row>
    <row r="26" spans="1:27" ht="22.5" customHeight="1">
      <c r="A26" s="12"/>
      <c r="B26" s="73"/>
      <c r="C26" s="72"/>
      <c r="D26" s="72"/>
      <c r="E26" s="71"/>
      <c r="F26" s="89"/>
      <c r="G26" s="89"/>
      <c r="H26" s="12"/>
      <c r="I26" s="12"/>
      <c r="J26" s="12"/>
      <c r="K26" s="12"/>
      <c r="L26" s="12"/>
      <c r="M26" s="12"/>
      <c r="N26" s="12"/>
      <c r="O26" s="12"/>
      <c r="P26" s="12"/>
      <c r="Q26" s="13"/>
      <c r="R26" s="18"/>
      <c r="S26" s="12"/>
      <c r="T26" s="15"/>
      <c r="U26" s="15"/>
      <c r="V26" s="15"/>
      <c r="W26" s="15"/>
      <c r="X26" s="18"/>
      <c r="Y26" s="18"/>
      <c r="Z26" s="18"/>
      <c r="AA26" s="36" t="str">
        <f t="shared" si="3"/>
        <v/>
      </c>
    </row>
    <row r="27" spans="1:27" ht="22.5" customHeight="1">
      <c r="A27" s="12"/>
      <c r="B27" s="73"/>
      <c r="C27" s="72"/>
      <c r="D27" s="72"/>
      <c r="E27" s="71"/>
      <c r="F27" s="89"/>
      <c r="G27" s="89"/>
      <c r="H27" s="12"/>
      <c r="I27" s="12"/>
      <c r="J27" s="12"/>
      <c r="K27" s="12"/>
      <c r="L27" s="12"/>
      <c r="M27" s="12"/>
      <c r="N27" s="12"/>
      <c r="O27" s="12"/>
      <c r="P27" s="12"/>
      <c r="Q27" s="13"/>
      <c r="R27" s="18"/>
      <c r="S27" s="12"/>
      <c r="T27" s="15"/>
      <c r="U27" s="15"/>
      <c r="V27" s="15"/>
      <c r="W27" s="15"/>
      <c r="X27" s="18"/>
      <c r="Y27" s="18"/>
      <c r="Z27" s="18"/>
      <c r="AA27" s="36" t="str">
        <f t="shared" si="3"/>
        <v/>
      </c>
    </row>
    <row r="28" spans="1:27" ht="22.5" customHeight="1">
      <c r="A28" s="12"/>
      <c r="B28" s="73"/>
      <c r="C28" s="72"/>
      <c r="D28" s="72"/>
      <c r="E28" s="71"/>
      <c r="F28" s="89"/>
      <c r="G28" s="89"/>
      <c r="H28" s="12"/>
      <c r="I28" s="12"/>
      <c r="J28" s="12"/>
      <c r="K28" s="12"/>
      <c r="L28" s="12"/>
      <c r="M28" s="12"/>
      <c r="N28" s="12"/>
      <c r="O28" s="12"/>
      <c r="P28" s="12"/>
      <c r="Q28" s="13"/>
      <c r="R28" s="18"/>
      <c r="S28" s="12"/>
      <c r="T28" s="15"/>
      <c r="U28" s="15"/>
      <c r="V28" s="15"/>
      <c r="W28" s="15"/>
      <c r="X28" s="18"/>
      <c r="Y28" s="18"/>
      <c r="Z28" s="18"/>
      <c r="AA28" s="36" t="str">
        <f t="shared" si="3"/>
        <v/>
      </c>
    </row>
    <row r="29" spans="1:27" ht="22.5" customHeight="1">
      <c r="A29" s="12"/>
      <c r="B29" s="116"/>
      <c r="C29" s="72"/>
      <c r="D29" s="128"/>
      <c r="E29" s="71"/>
      <c r="F29" s="89"/>
      <c r="G29" s="89"/>
      <c r="H29" s="12"/>
      <c r="I29" s="12"/>
      <c r="J29" s="12"/>
      <c r="K29" s="12"/>
      <c r="L29" s="12"/>
      <c r="M29" s="12"/>
      <c r="N29" s="12"/>
      <c r="O29" s="12"/>
      <c r="P29" s="12"/>
      <c r="Q29" s="13"/>
      <c r="R29" s="18"/>
      <c r="S29" s="12"/>
      <c r="T29" s="15"/>
      <c r="U29" s="15"/>
      <c r="V29" s="15"/>
      <c r="W29" s="15"/>
      <c r="X29" s="18"/>
      <c r="Y29" s="18"/>
      <c r="Z29" s="18"/>
      <c r="AA29" s="36" t="str">
        <f t="shared" si="3"/>
        <v/>
      </c>
    </row>
    <row r="30" spans="1:27" ht="22.5" customHeight="1">
      <c r="A30" s="12"/>
      <c r="B30" s="116"/>
      <c r="C30" s="72"/>
      <c r="D30" s="128"/>
      <c r="E30" s="71"/>
      <c r="F30" s="89"/>
      <c r="G30" s="89"/>
      <c r="H30" s="12"/>
      <c r="I30" s="12"/>
      <c r="J30" s="12"/>
      <c r="K30" s="12"/>
      <c r="L30" s="12"/>
      <c r="M30" s="12"/>
      <c r="N30" s="12"/>
      <c r="O30" s="12"/>
      <c r="P30" s="12"/>
      <c r="Q30" s="13"/>
      <c r="R30" s="18"/>
      <c r="S30" s="12"/>
      <c r="T30" s="15"/>
      <c r="U30" s="15"/>
      <c r="V30" s="15"/>
      <c r="W30" s="15"/>
      <c r="X30" s="18"/>
      <c r="Y30" s="18"/>
      <c r="Z30" s="18"/>
      <c r="AA30" s="36" t="str">
        <f t="shared" si="3"/>
        <v/>
      </c>
    </row>
    <row r="31" spans="1:27" ht="22.5" customHeight="1">
      <c r="A31" s="12"/>
      <c r="B31" s="116"/>
      <c r="C31" s="72"/>
      <c r="D31" s="128"/>
      <c r="E31" s="71"/>
      <c r="F31" s="89"/>
      <c r="G31" s="89"/>
      <c r="H31" s="12"/>
      <c r="I31" s="12"/>
      <c r="J31" s="12"/>
      <c r="K31" s="12"/>
      <c r="L31" s="12"/>
      <c r="M31" s="12"/>
      <c r="N31" s="12"/>
      <c r="O31" s="12"/>
      <c r="P31" s="12"/>
      <c r="Q31" s="13"/>
      <c r="R31" s="18"/>
      <c r="S31" s="12"/>
      <c r="T31" s="15"/>
      <c r="U31" s="15"/>
      <c r="V31" s="15"/>
      <c r="W31" s="15"/>
      <c r="X31" s="18"/>
      <c r="Y31" s="18"/>
      <c r="Z31" s="18"/>
      <c r="AA31" s="36" t="str">
        <f t="shared" si="3"/>
        <v/>
      </c>
    </row>
    <row r="32" spans="1:27" ht="22.5" customHeight="1">
      <c r="A32" s="12"/>
      <c r="B32" s="116"/>
      <c r="C32" s="72"/>
      <c r="D32" s="128"/>
      <c r="E32" s="71"/>
      <c r="F32" s="89"/>
      <c r="G32" s="89"/>
      <c r="H32" s="12"/>
      <c r="I32" s="12"/>
      <c r="J32" s="12"/>
      <c r="K32" s="12"/>
      <c r="L32" s="12"/>
      <c r="M32" s="12"/>
      <c r="N32" s="12"/>
      <c r="O32" s="12"/>
      <c r="P32" s="12"/>
      <c r="Q32" s="13"/>
      <c r="R32" s="18"/>
      <c r="S32" s="12"/>
      <c r="T32" s="15"/>
      <c r="U32" s="15"/>
      <c r="V32" s="15"/>
      <c r="W32" s="15"/>
      <c r="X32" s="18"/>
      <c r="Y32" s="18"/>
      <c r="Z32" s="18"/>
      <c r="AA32" s="36" t="str">
        <f t="shared" si="3"/>
        <v/>
      </c>
    </row>
    <row r="33" spans="1:27" ht="22.5" customHeight="1">
      <c r="A33" s="12"/>
      <c r="B33" s="116"/>
      <c r="C33" s="72"/>
      <c r="D33" s="131"/>
      <c r="E33" s="71"/>
      <c r="F33" s="89"/>
      <c r="G33" s="89"/>
      <c r="H33" s="12"/>
      <c r="I33" s="12"/>
      <c r="J33" s="12"/>
      <c r="K33" s="12"/>
      <c r="L33" s="12"/>
      <c r="M33" s="12"/>
      <c r="N33" s="12"/>
      <c r="O33" s="12"/>
      <c r="P33" s="12"/>
      <c r="Q33" s="13"/>
      <c r="R33" s="18"/>
      <c r="S33" s="12"/>
      <c r="T33" s="15"/>
      <c r="U33" s="15"/>
      <c r="V33" s="15"/>
      <c r="W33" s="15"/>
      <c r="X33" s="18"/>
      <c r="Y33" s="18"/>
      <c r="Z33" s="18"/>
      <c r="AA33" s="36" t="str">
        <f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2.5" customHeight="1">
      <c r="A34" s="12"/>
      <c r="B34" s="116"/>
      <c r="C34" s="72"/>
      <c r="D34" s="131"/>
      <c r="E34" s="71"/>
      <c r="F34" s="89"/>
      <c r="G34" s="89"/>
      <c r="H34" s="12"/>
      <c r="I34" s="12"/>
      <c r="J34" s="12"/>
      <c r="K34" s="12"/>
      <c r="L34" s="12"/>
      <c r="M34" s="12"/>
      <c r="N34" s="12"/>
      <c r="O34" s="12"/>
      <c r="P34" s="12"/>
      <c r="Q34" s="13"/>
      <c r="R34" s="18"/>
      <c r="S34" s="12"/>
      <c r="T34" s="15"/>
      <c r="U34" s="15"/>
      <c r="V34" s="15"/>
      <c r="W34" s="15"/>
      <c r="X34" s="18"/>
      <c r="Y34" s="18"/>
      <c r="Z34" s="18"/>
      <c r="AA34" s="36" t="str">
        <f>IF(AND(EvalPower(E34:G34)=EvalPower(H34:Q34), EvalPower(P34)=EvalPower(U34:W34)), "", IF(AND(EvalPower(E34:G34)&lt;&gt;EvalPower(H34:Q34), EvalPower(P34)&lt;&gt;EvalPower(U34:W34)), "NG Total and Power total both mistake", IF(EvalPower(E34:G34)&lt;&gt;EvalPower(H34:Q34), "TOTAL ERROR", "POWER CUT ERROR!")))</f>
        <v/>
      </c>
    </row>
    <row r="35" spans="1:27" ht="22.5" customHeight="1">
      <c r="A35" s="12"/>
      <c r="B35" s="116"/>
      <c r="C35" s="72"/>
      <c r="D35" s="131"/>
      <c r="E35" s="71"/>
      <c r="F35" s="89"/>
      <c r="G35" s="89"/>
      <c r="H35" s="12"/>
      <c r="I35" s="12"/>
      <c r="J35" s="12"/>
      <c r="K35" s="12"/>
      <c r="L35" s="12"/>
      <c r="M35" s="12"/>
      <c r="N35" s="12"/>
      <c r="O35" s="12"/>
      <c r="P35" s="12"/>
      <c r="Q35" s="13"/>
      <c r="R35" s="18"/>
      <c r="S35" s="12"/>
      <c r="T35" s="15"/>
      <c r="U35" s="15"/>
      <c r="V35" s="15"/>
      <c r="W35" s="15"/>
      <c r="X35" s="18"/>
      <c r="Y35" s="18"/>
      <c r="Z35" s="18"/>
      <c r="AA35" s="36" t="str">
        <f>IF(AND(EvalPower(E35:G35)=EvalPower(H35:Q35), EvalPower(P35)=EvalPower(U35:W35)), "", IF(AND(EvalPower(E35:G35)&lt;&gt;EvalPower(H35:Q35), EvalPower(P35)&lt;&gt;EvalPower(U35:W35)), "NG Total and Power total both mistake", IF(EvalPower(E35:G35)&lt;&gt;EvalPower(H35:Q35), "TOTAL ERROR", "POWER CUT ERROR!")))</f>
        <v/>
      </c>
    </row>
    <row r="36" spans="1:27" ht="22.5" customHeight="1">
      <c r="A36" s="12"/>
      <c r="B36" s="116"/>
      <c r="C36" s="72"/>
      <c r="D36" s="128"/>
      <c r="E36" s="71"/>
      <c r="F36" s="89"/>
      <c r="G36" s="89"/>
      <c r="H36" s="12"/>
      <c r="I36" s="12"/>
      <c r="J36" s="12"/>
      <c r="K36" s="12"/>
      <c r="L36" s="12"/>
      <c r="M36" s="12"/>
      <c r="N36" s="12"/>
      <c r="O36" s="12"/>
      <c r="P36" s="12"/>
      <c r="Q36" s="13"/>
      <c r="R36" s="18"/>
      <c r="S36" s="12"/>
      <c r="T36" s="15"/>
      <c r="U36" s="15"/>
      <c r="V36" s="15"/>
      <c r="W36" s="15"/>
      <c r="X36" s="18"/>
      <c r="Y36" s="18"/>
      <c r="Z36" s="18"/>
      <c r="AA36" s="36" t="str">
        <f t="shared" si="3"/>
        <v/>
      </c>
    </row>
    <row r="37" spans="1:27" ht="22.5" customHeight="1">
      <c r="A37" s="12"/>
      <c r="B37" s="69"/>
      <c r="C37" s="72"/>
      <c r="D37" s="92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8"/>
      <c r="S37" s="12"/>
      <c r="T37" s="15"/>
      <c r="U37" s="15"/>
      <c r="V37" s="15"/>
      <c r="W37" s="15"/>
      <c r="X37" s="18"/>
      <c r="Y37" s="18"/>
      <c r="Z37" s="18"/>
      <c r="AA37" s="36" t="str">
        <f t="shared" si="2"/>
        <v/>
      </c>
    </row>
    <row r="38" spans="1:27" ht="22.5" customHeight="1">
      <c r="A38" s="12"/>
      <c r="B38" s="69"/>
      <c r="C38" s="72"/>
      <c r="D38" s="92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8"/>
      <c r="S38" s="12"/>
      <c r="T38" s="15"/>
      <c r="U38" s="15"/>
      <c r="V38" s="15"/>
      <c r="W38" s="15"/>
      <c r="X38" s="18"/>
      <c r="Y38" s="18"/>
      <c r="Z38" s="18"/>
      <c r="AA38" s="36" t="str">
        <f t="shared" ref="AA38:AA43" si="4"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2.5" customHeight="1">
      <c r="A39" s="12"/>
      <c r="B39" s="88"/>
      <c r="C39" s="72"/>
      <c r="D39" s="92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8"/>
      <c r="S39" s="124"/>
      <c r="T39" s="15"/>
      <c r="U39" s="15"/>
      <c r="V39" s="15"/>
      <c r="W39" s="15"/>
      <c r="X39" s="18"/>
      <c r="Y39" s="18"/>
      <c r="Z39" s="18"/>
      <c r="AA39" s="36" t="str">
        <f t="shared" si="4"/>
        <v/>
      </c>
    </row>
    <row r="40" spans="1:27" ht="22.5" customHeight="1">
      <c r="A40" s="12"/>
      <c r="B40" s="88"/>
      <c r="C40" s="72"/>
      <c r="D40" s="72"/>
      <c r="E40" s="27"/>
      <c r="F40" s="126"/>
      <c r="G40" s="126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8"/>
      <c r="S40" s="133"/>
      <c r="T40" s="15"/>
      <c r="U40" s="15"/>
      <c r="V40" s="15"/>
      <c r="W40" s="15"/>
      <c r="X40" s="18"/>
      <c r="Y40" s="18"/>
      <c r="Z40" s="18"/>
      <c r="AA40" s="36" t="str">
        <f t="shared" si="4"/>
        <v/>
      </c>
    </row>
    <row r="41" spans="1:27" ht="22.5" customHeight="1">
      <c r="A41" s="12"/>
      <c r="B41" s="88"/>
      <c r="C41" s="72"/>
      <c r="D41" s="92"/>
      <c r="E41" s="27"/>
      <c r="F41" s="126"/>
      <c r="G41" s="126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 t="shared" si="4"/>
        <v/>
      </c>
    </row>
    <row r="42" spans="1:27" ht="22.5" customHeight="1">
      <c r="A42" s="12"/>
      <c r="B42" s="88"/>
      <c r="C42" s="72"/>
      <c r="D42" s="128"/>
      <c r="E42" s="71"/>
      <c r="F42" s="89"/>
      <c r="G42" s="89"/>
      <c r="H42" s="12"/>
      <c r="I42" s="12"/>
      <c r="J42" s="12"/>
      <c r="K42" s="12"/>
      <c r="L42" s="12"/>
      <c r="M42" s="12"/>
      <c r="N42" s="12"/>
      <c r="O42" s="12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 t="shared" si="4"/>
        <v/>
      </c>
    </row>
    <row r="43" spans="1:27" ht="22.5" customHeight="1">
      <c r="A43" s="12"/>
      <c r="B43" s="88"/>
      <c r="C43" s="72"/>
      <c r="D43" s="128"/>
      <c r="E43" s="71"/>
      <c r="F43" s="89"/>
      <c r="G43" s="89"/>
      <c r="H43" s="12"/>
      <c r="I43" s="12"/>
      <c r="J43" s="12"/>
      <c r="K43" s="12"/>
      <c r="L43" s="12"/>
      <c r="M43" s="12"/>
      <c r="N43" s="12"/>
      <c r="O43" s="12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 t="shared" si="4"/>
        <v/>
      </c>
    </row>
    <row r="44" spans="1:27" ht="22.5" customHeight="1">
      <c r="A44" s="12"/>
      <c r="B44" s="116"/>
      <c r="C44" s="72"/>
      <c r="D44" s="72"/>
      <c r="E44" s="71"/>
      <c r="F44" s="70"/>
      <c r="G44" s="71"/>
      <c r="H44" s="12"/>
      <c r="I44" s="12"/>
      <c r="J44" s="12"/>
      <c r="K44" s="12"/>
      <c r="L44" s="12"/>
      <c r="M44" s="12"/>
      <c r="N44" s="12"/>
      <c r="O44" s="12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 t="shared" ref="AA44:AA46" si="5"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2.5" customHeight="1">
      <c r="A45" s="12"/>
      <c r="B45" s="116"/>
      <c r="C45" s="72"/>
      <c r="D45" s="92"/>
      <c r="E45" s="27"/>
      <c r="F45" s="70"/>
      <c r="G45" s="71"/>
      <c r="H45" s="12"/>
      <c r="I45" s="12"/>
      <c r="J45" s="12"/>
      <c r="K45" s="12"/>
      <c r="L45" s="12"/>
      <c r="M45" s="12"/>
      <c r="N45" s="12"/>
      <c r="O45" s="12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 t="shared" si="5"/>
        <v/>
      </c>
    </row>
    <row r="46" spans="1:27" ht="22.5" customHeight="1">
      <c r="A46" s="12"/>
      <c r="B46" s="88"/>
      <c r="C46" s="72"/>
      <c r="D46" s="92"/>
      <c r="E46" s="27"/>
      <c r="F46" s="70"/>
      <c r="G46" s="71"/>
      <c r="H46" s="12"/>
      <c r="I46" s="12"/>
      <c r="J46" s="12"/>
      <c r="K46" s="12"/>
      <c r="L46" s="12"/>
      <c r="M46" s="12"/>
      <c r="N46" s="12"/>
      <c r="O46" s="12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 t="shared" si="5"/>
        <v/>
      </c>
    </row>
    <row r="47" spans="1:27" ht="22.5" customHeight="1">
      <c r="A47" s="12"/>
      <c r="B47" s="88"/>
      <c r="C47" s="72"/>
      <c r="D47" s="92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 t="shared" si="2"/>
        <v/>
      </c>
    </row>
    <row r="48" spans="1:27" ht="22.5" customHeight="1">
      <c r="A48" s="12"/>
      <c r="B48" s="88"/>
      <c r="C48" s="72"/>
      <c r="D48" s="72"/>
      <c r="E48" s="71"/>
      <c r="F48" s="70"/>
      <c r="G48" s="71"/>
      <c r="H48" s="12"/>
      <c r="I48" s="12"/>
      <c r="J48" s="12"/>
      <c r="K48" s="12"/>
      <c r="L48" s="12"/>
      <c r="M48" s="12"/>
      <c r="N48" s="12"/>
      <c r="O48" s="12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>IF(AND(EvalPower(E48:G48)=EvalPower(H48:Q48), EvalPower(P48)=EvalPower(U48:W48)), "", IF(AND(EvalPower(E48:G48)&lt;&gt;EvalPower(H48:Q48), EvalPower(P48)&lt;&gt;EvalPower(U48:W48)), "NG Total and Power total both mistake", IF(EvalPower(E48:G48)&lt;&gt;EvalPower(H48:Q48), "TOTAL ERROR", "POWER CUT ERROR!")))</f>
        <v/>
      </c>
    </row>
    <row r="49" spans="1:33" ht="22.5" customHeight="1">
      <c r="A49" s="12"/>
      <c r="B49" s="73"/>
      <c r="C49" s="72"/>
      <c r="D49" s="72"/>
      <c r="E49" s="71"/>
      <c r="F49" s="70"/>
      <c r="G49" s="71"/>
      <c r="H49" s="12"/>
      <c r="I49" s="12"/>
      <c r="J49" s="12"/>
      <c r="K49" s="12"/>
      <c r="L49" s="12"/>
      <c r="M49" s="12"/>
      <c r="N49" s="12"/>
      <c r="O49" s="12"/>
      <c r="P49" s="12"/>
      <c r="Q49" s="13"/>
      <c r="R49" s="18"/>
      <c r="S49" s="12"/>
      <c r="T49" s="15"/>
      <c r="U49" s="15"/>
      <c r="V49" s="15"/>
      <c r="W49" s="15"/>
      <c r="X49" s="18"/>
      <c r="Y49" s="18"/>
      <c r="Z49" s="18"/>
      <c r="AA49" s="36" t="str">
        <f t="shared" ref="AA49:AA101" si="6">IF(AND(EvalPower(E49:G49)=EvalPower(H49:Q49), EvalPower(P49)=EvalPower(U49:W49)), "", IF(AND(EvalPower(E49:G49)&lt;&gt;EvalPower(H49:Q49), EvalPower(P49)&lt;&gt;EvalPower(U49:W49)), "NG Total and Power total both mistake", IF(EvalPower(E49:G49)&lt;&gt;EvalPower(H49:Q49), "TOTAL ERROR", "POWER CUT ERROR!")))</f>
        <v/>
      </c>
      <c r="AC49" s="1"/>
      <c r="AD49" s="1"/>
      <c r="AE49" s="1"/>
      <c r="AF49" s="1"/>
      <c r="AG49" s="1"/>
    </row>
    <row r="50" spans="1:33" ht="22.5" customHeight="1">
      <c r="A50" s="12"/>
      <c r="B50" s="73"/>
      <c r="C50" s="72"/>
      <c r="D50" s="72"/>
      <c r="E50" s="71"/>
      <c r="F50" s="70"/>
      <c r="G50" s="71"/>
      <c r="H50" s="12"/>
      <c r="I50" s="12"/>
      <c r="J50" s="12"/>
      <c r="K50" s="12"/>
      <c r="L50" s="12"/>
      <c r="M50" s="12"/>
      <c r="N50" s="12"/>
      <c r="O50" s="12"/>
      <c r="P50" s="12"/>
      <c r="Q50" s="13"/>
      <c r="R50" s="18"/>
      <c r="S50" s="12"/>
      <c r="T50" s="15"/>
      <c r="U50" s="15"/>
      <c r="V50" s="15"/>
      <c r="W50" s="15"/>
      <c r="X50" s="18"/>
      <c r="Y50" s="18"/>
      <c r="Z50" s="18"/>
      <c r="AA50" s="36" t="str">
        <f t="shared" si="6"/>
        <v/>
      </c>
      <c r="AB50" s="1"/>
      <c r="AC50" s="1"/>
      <c r="AD50" s="1"/>
      <c r="AE50" s="1"/>
      <c r="AF50" s="1"/>
      <c r="AG50" s="1"/>
    </row>
    <row r="51" spans="1:33" ht="22.5" customHeight="1">
      <c r="A51" s="12"/>
      <c r="B51" s="73"/>
      <c r="C51" s="118"/>
      <c r="D51" s="72"/>
      <c r="E51" s="71"/>
      <c r="F51" s="89"/>
      <c r="G51" s="71"/>
      <c r="H51" s="12"/>
      <c r="I51" s="12"/>
      <c r="J51" s="12"/>
      <c r="K51" s="12"/>
      <c r="L51" s="12"/>
      <c r="M51" s="12"/>
      <c r="N51" s="12"/>
      <c r="O51" s="12"/>
      <c r="P51" s="12"/>
      <c r="Q51" s="13"/>
      <c r="R51" s="18"/>
      <c r="S51" s="12"/>
      <c r="T51" s="15"/>
      <c r="U51" s="15"/>
      <c r="V51" s="15"/>
      <c r="W51" s="15"/>
      <c r="X51" s="18"/>
      <c r="Y51" s="18"/>
      <c r="Z51" s="18"/>
      <c r="AA51" s="36" t="str">
        <f t="shared" ref="AA51:AA56" si="7">IF(AND(EvalPower(E51:G51)=EvalPower(H51:Q51), EvalPower(P51)=EvalPower(U51:W51)), "", IF(AND(EvalPower(E51:G51)&lt;&gt;EvalPower(H51:Q51), EvalPower(P51)&lt;&gt;EvalPower(U51:W51)), "NG Total and Power total both mistake", IF(EvalPower(E51:G51)&lt;&gt;EvalPower(H51:Q51), "TOTAL ERROR", "POWER CUT ERROR!")))</f>
        <v/>
      </c>
      <c r="AB51" s="1"/>
      <c r="AC51" s="1"/>
      <c r="AD51" s="1"/>
      <c r="AE51" s="1"/>
      <c r="AF51" s="1"/>
      <c r="AG51" s="1"/>
    </row>
    <row r="52" spans="1:33" ht="22.5" customHeight="1">
      <c r="A52" s="12"/>
      <c r="B52" s="73"/>
      <c r="C52" s="119"/>
      <c r="D52" s="72"/>
      <c r="E52" s="71"/>
      <c r="F52" s="89"/>
      <c r="G52" s="71"/>
      <c r="H52" s="12"/>
      <c r="I52" s="12"/>
      <c r="J52" s="12"/>
      <c r="K52" s="12"/>
      <c r="L52" s="12"/>
      <c r="M52" s="12"/>
      <c r="N52" s="12"/>
      <c r="O52" s="12"/>
      <c r="P52" s="12"/>
      <c r="Q52" s="13"/>
      <c r="R52" s="18"/>
      <c r="S52" s="12"/>
      <c r="T52" s="15"/>
      <c r="U52" s="15"/>
      <c r="V52" s="15"/>
      <c r="W52" s="15"/>
      <c r="X52" s="18"/>
      <c r="Y52" s="18"/>
      <c r="Z52" s="18"/>
      <c r="AA52" s="36" t="str">
        <f t="shared" si="7"/>
        <v/>
      </c>
      <c r="AB52" s="1"/>
      <c r="AC52" s="1"/>
      <c r="AD52" s="1"/>
      <c r="AE52" s="1"/>
      <c r="AF52" s="1"/>
      <c r="AG52" s="1"/>
    </row>
    <row r="53" spans="1:33" ht="22.5" customHeight="1">
      <c r="A53" s="12"/>
      <c r="B53" s="73"/>
      <c r="C53" s="120"/>
      <c r="D53" s="72"/>
      <c r="E53" s="71"/>
      <c r="F53" s="89"/>
      <c r="G53" s="71"/>
      <c r="H53" s="12"/>
      <c r="I53" s="12"/>
      <c r="J53" s="12"/>
      <c r="K53" s="12"/>
      <c r="L53" s="12"/>
      <c r="M53" s="12"/>
      <c r="N53" s="12"/>
      <c r="O53" s="12"/>
      <c r="P53" s="12"/>
      <c r="Q53" s="13"/>
      <c r="R53" s="18"/>
      <c r="S53" s="12"/>
      <c r="T53" s="15"/>
      <c r="U53" s="15"/>
      <c r="V53" s="15"/>
      <c r="W53" s="15"/>
      <c r="X53" s="18"/>
      <c r="Y53" s="18"/>
      <c r="Z53" s="18"/>
      <c r="AA53" s="36" t="str">
        <f t="shared" si="7"/>
        <v/>
      </c>
      <c r="AB53" s="1"/>
      <c r="AC53" s="1"/>
      <c r="AD53" s="1"/>
      <c r="AE53" s="1"/>
      <c r="AF53" s="1"/>
      <c r="AG53" s="1"/>
    </row>
    <row r="54" spans="1:33" ht="22.5" customHeight="1">
      <c r="A54" s="12"/>
      <c r="B54" s="73"/>
      <c r="C54" s="119"/>
      <c r="D54" s="72"/>
      <c r="E54" s="71"/>
      <c r="F54" s="89"/>
      <c r="G54" s="71"/>
      <c r="H54" s="12"/>
      <c r="I54" s="12"/>
      <c r="J54" s="12"/>
      <c r="K54" s="12"/>
      <c r="L54" s="12"/>
      <c r="M54" s="12"/>
      <c r="N54" s="12"/>
      <c r="O54" s="12"/>
      <c r="P54" s="12"/>
      <c r="Q54" s="13"/>
      <c r="R54" s="18"/>
      <c r="S54" s="12"/>
      <c r="T54" s="15"/>
      <c r="U54" s="15"/>
      <c r="V54" s="15"/>
      <c r="W54" s="15"/>
      <c r="X54" s="18"/>
      <c r="Y54" s="18"/>
      <c r="Z54" s="18"/>
      <c r="AA54" s="36" t="str">
        <f t="shared" si="7"/>
        <v/>
      </c>
      <c r="AB54" s="1"/>
      <c r="AC54" s="1"/>
      <c r="AD54" s="1"/>
      <c r="AE54" s="1"/>
      <c r="AF54" s="1"/>
      <c r="AG54" s="1"/>
    </row>
    <row r="55" spans="1:33" ht="22.5" customHeight="1">
      <c r="A55" s="12"/>
      <c r="B55" s="73"/>
      <c r="C55" s="119"/>
      <c r="D55" s="72"/>
      <c r="E55" s="71"/>
      <c r="F55" s="89"/>
      <c r="G55" s="71"/>
      <c r="H55" s="12"/>
      <c r="I55" s="12"/>
      <c r="J55" s="12"/>
      <c r="K55" s="12"/>
      <c r="L55" s="12"/>
      <c r="M55" s="12"/>
      <c r="N55" s="12"/>
      <c r="O55" s="12"/>
      <c r="P55" s="12"/>
      <c r="Q55" s="13"/>
      <c r="R55" s="18"/>
      <c r="S55" s="12"/>
      <c r="T55" s="15"/>
      <c r="U55" s="15"/>
      <c r="V55" s="15"/>
      <c r="W55" s="15"/>
      <c r="X55" s="18"/>
      <c r="Y55" s="18"/>
      <c r="Z55" s="18"/>
      <c r="AA55" s="36" t="str">
        <f t="shared" si="7"/>
        <v/>
      </c>
      <c r="AB55" s="1"/>
      <c r="AC55" s="1"/>
      <c r="AD55" s="1"/>
      <c r="AE55" s="1"/>
      <c r="AF55" s="1"/>
      <c r="AG55" s="1"/>
    </row>
    <row r="56" spans="1:33" ht="22.5" customHeight="1">
      <c r="A56" s="12"/>
      <c r="B56" s="73"/>
      <c r="C56" s="119"/>
      <c r="D56" s="72"/>
      <c r="E56" s="71"/>
      <c r="F56" s="89"/>
      <c r="G56" s="71"/>
      <c r="H56" s="12"/>
      <c r="I56" s="12"/>
      <c r="J56" s="12"/>
      <c r="K56" s="12"/>
      <c r="L56" s="12"/>
      <c r="M56" s="12"/>
      <c r="N56" s="12"/>
      <c r="O56" s="12"/>
      <c r="P56" s="12"/>
      <c r="Q56" s="13"/>
      <c r="R56" s="18"/>
      <c r="S56" s="12"/>
      <c r="T56" s="15"/>
      <c r="U56" s="15"/>
      <c r="V56" s="15"/>
      <c r="W56" s="15"/>
      <c r="X56" s="18"/>
      <c r="Y56" s="18"/>
      <c r="Z56" s="18"/>
      <c r="AA56" s="36" t="str">
        <f t="shared" si="7"/>
        <v/>
      </c>
      <c r="AB56" s="1"/>
      <c r="AC56" s="1"/>
      <c r="AD56" s="1"/>
      <c r="AE56" s="1"/>
      <c r="AF56" s="1"/>
      <c r="AG56" s="1"/>
    </row>
    <row r="57" spans="1:33" ht="22.5" customHeight="1">
      <c r="A57" s="12"/>
      <c r="B57" s="73"/>
      <c r="C57" s="119"/>
      <c r="D57" s="72"/>
      <c r="E57" s="71"/>
      <c r="F57" s="89"/>
      <c r="G57" s="71"/>
      <c r="H57" s="12"/>
      <c r="I57" s="12"/>
      <c r="J57" s="12"/>
      <c r="K57" s="12"/>
      <c r="L57" s="12"/>
      <c r="M57" s="12"/>
      <c r="N57" s="12"/>
      <c r="O57" s="12"/>
      <c r="P57" s="12"/>
      <c r="Q57" s="13"/>
      <c r="R57" s="18"/>
      <c r="S57" s="12"/>
      <c r="T57" s="15"/>
      <c r="U57" s="15"/>
      <c r="V57" s="15"/>
      <c r="W57" s="15"/>
      <c r="X57" s="18"/>
      <c r="Y57" s="18"/>
      <c r="Z57" s="18"/>
      <c r="AA57" s="36" t="str">
        <f t="shared" ref="AA57:AA70" si="8">IF(AND(EvalPower(E57:G57)=EvalPower(H57:Q57), EvalPower(P57)=EvalPower(U57:W57)), "", IF(AND(EvalPower(E57:G57)&lt;&gt;EvalPower(H57:Q57), EvalPower(P57)&lt;&gt;EvalPower(U57:W57)), "NG Total and Power total both mistake", IF(EvalPower(E57:G57)&lt;&gt;EvalPower(H57:Q57), "TOTAL ERROR", "POWER CUT ERROR!")))</f>
        <v/>
      </c>
      <c r="AB57" s="1"/>
      <c r="AC57" s="1"/>
      <c r="AD57" s="1"/>
      <c r="AE57" s="1"/>
      <c r="AF57" s="1"/>
      <c r="AG57" s="1"/>
    </row>
    <row r="58" spans="1:33" ht="22.5" customHeight="1">
      <c r="A58" s="12"/>
      <c r="B58" s="73"/>
      <c r="C58" s="119"/>
      <c r="D58" s="114"/>
      <c r="E58" s="71"/>
      <c r="F58" s="89"/>
      <c r="G58" s="71"/>
      <c r="H58" s="12"/>
      <c r="I58" s="12"/>
      <c r="J58" s="12"/>
      <c r="K58" s="12"/>
      <c r="L58" s="12"/>
      <c r="M58" s="12"/>
      <c r="N58" s="12"/>
      <c r="O58" s="12"/>
      <c r="P58" s="12"/>
      <c r="Q58" s="13"/>
      <c r="R58" s="18"/>
      <c r="S58" s="12"/>
      <c r="T58" s="15"/>
      <c r="U58" s="15"/>
      <c r="V58" s="15"/>
      <c r="W58" s="15"/>
      <c r="X58" s="18"/>
      <c r="Y58" s="18"/>
      <c r="Z58" s="18"/>
      <c r="AA58" s="36" t="str">
        <f>IF(AND(EvalPower(E58:G58)=EvalPower(H58:Q58), EvalPower(P58)=EvalPower(U58:W58)), "", IF(AND(EvalPower(E58:G58)&lt;&gt;EvalPower(H58:Q58), EvalPower(P58)&lt;&gt;EvalPower(U58:W58)), "NG Total and Power total both mistake", IF(EvalPower(E58:G58)&lt;&gt;EvalPower(H58:Q58), "TOTAL ERROR", "POWER CUT ERROR!")))</f>
        <v/>
      </c>
      <c r="AB58" s="1"/>
      <c r="AC58" s="1"/>
      <c r="AD58" s="1"/>
      <c r="AE58" s="1"/>
      <c r="AF58" s="1"/>
      <c r="AG58" s="1"/>
    </row>
    <row r="59" spans="1:33" ht="22.5" customHeight="1">
      <c r="A59" s="12"/>
      <c r="B59" s="116"/>
      <c r="C59" s="117"/>
      <c r="D59" s="114"/>
      <c r="E59" s="71"/>
      <c r="F59" s="89"/>
      <c r="G59" s="71"/>
      <c r="H59" s="12"/>
      <c r="I59" s="12"/>
      <c r="J59" s="12"/>
      <c r="K59" s="12"/>
      <c r="L59" s="12"/>
      <c r="M59" s="12"/>
      <c r="N59" s="12"/>
      <c r="O59" s="12"/>
      <c r="P59" s="12"/>
      <c r="Q59" s="13"/>
      <c r="R59" s="18"/>
      <c r="S59" s="12"/>
      <c r="T59" s="15"/>
      <c r="U59" s="15"/>
      <c r="V59" s="15"/>
      <c r="W59" s="15"/>
      <c r="X59" s="18"/>
      <c r="Y59" s="18"/>
      <c r="Z59" s="18"/>
      <c r="AA59" s="36" t="str">
        <f>IF(AND(EvalPower(E59:G59)=EvalPower(H59:Q59), EvalPower(P59)=EvalPower(U59:W59)), "", IF(AND(EvalPower(E59:G59)&lt;&gt;EvalPower(H59:Q59), EvalPower(P59)&lt;&gt;EvalPower(U59:W59)), "NG Total and Power total both mistake", IF(EvalPower(E59:G59)&lt;&gt;EvalPower(H59:Q59), "TOTAL ERROR", "POWER CUT ERROR!")))</f>
        <v/>
      </c>
      <c r="AB59" s="1"/>
      <c r="AC59" s="1"/>
      <c r="AD59" s="1"/>
      <c r="AE59" s="1"/>
      <c r="AF59" s="1"/>
      <c r="AG59" s="1"/>
    </row>
    <row r="60" spans="1:33" ht="22.5" customHeight="1">
      <c r="A60" s="12"/>
      <c r="B60" s="116"/>
      <c r="C60" s="118"/>
      <c r="D60" s="114"/>
      <c r="E60" s="71"/>
      <c r="F60" s="89"/>
      <c r="G60" s="71"/>
      <c r="H60" s="12"/>
      <c r="I60" s="12"/>
      <c r="J60" s="12"/>
      <c r="K60" s="12"/>
      <c r="L60" s="12"/>
      <c r="M60" s="12"/>
      <c r="N60" s="12"/>
      <c r="O60" s="12"/>
      <c r="P60" s="12"/>
      <c r="Q60" s="13"/>
      <c r="R60" s="18"/>
      <c r="S60" s="12"/>
      <c r="T60" s="15"/>
      <c r="U60" s="15"/>
      <c r="V60" s="15"/>
      <c r="W60" s="15"/>
      <c r="X60" s="18"/>
      <c r="Y60" s="18"/>
      <c r="Z60" s="18"/>
      <c r="AA60" s="36" t="str">
        <f>IF(AND(EvalPower(E60:G60)=EvalPower(H60:Q60), EvalPower(P60)=EvalPower(U60:W60)), "", IF(AND(EvalPower(E60:G60)&lt;&gt;EvalPower(H60:Q60), EvalPower(P60)&lt;&gt;EvalPower(U60:W60)), "NG Total and Power total both mistake", IF(EvalPower(E60:G60)&lt;&gt;EvalPower(H60:Q60), "TOTAL ERROR", "POWER CUT ERROR!")))</f>
        <v/>
      </c>
      <c r="AB60" s="1"/>
      <c r="AC60" s="1"/>
      <c r="AD60" s="1"/>
      <c r="AE60" s="1"/>
      <c r="AF60" s="1"/>
      <c r="AG60" s="1"/>
    </row>
    <row r="61" spans="1:33" ht="22.5" customHeight="1">
      <c r="A61" s="12"/>
      <c r="B61" s="116"/>
      <c r="C61" s="117"/>
      <c r="D61" s="114"/>
      <c r="E61" s="71"/>
      <c r="F61" s="89"/>
      <c r="G61" s="71"/>
      <c r="H61" s="12"/>
      <c r="I61" s="12"/>
      <c r="J61" s="12"/>
      <c r="K61" s="12"/>
      <c r="L61" s="12"/>
      <c r="M61" s="12"/>
      <c r="N61" s="12"/>
      <c r="O61" s="12"/>
      <c r="P61" s="12"/>
      <c r="Q61" s="13"/>
      <c r="R61" s="18"/>
      <c r="S61" s="12"/>
      <c r="T61" s="15"/>
      <c r="U61" s="15"/>
      <c r="V61" s="15"/>
      <c r="W61" s="15"/>
      <c r="X61" s="18"/>
      <c r="Y61" s="18"/>
      <c r="Z61" s="18"/>
      <c r="AA61" s="36" t="str">
        <f>IF(AND(EvalPower(E61:G61)=EvalPower(H61:Q61), EvalPower(P61)=EvalPower(U61:W61)), "", IF(AND(EvalPower(E61:G61)&lt;&gt;EvalPower(H61:Q61), EvalPower(P61)&lt;&gt;EvalPower(U61:W61)), "NG Total and Power total both mistake", IF(EvalPower(E61:G61)&lt;&gt;EvalPower(H61:Q61), "TOTAL ERROR", "POWER CUT ERROR!")))</f>
        <v/>
      </c>
      <c r="AB61" s="1"/>
      <c r="AC61" s="1"/>
      <c r="AD61" s="1"/>
      <c r="AE61" s="1"/>
      <c r="AF61" s="1"/>
      <c r="AG61" s="1"/>
    </row>
    <row r="62" spans="1:33" ht="22.5" customHeight="1">
      <c r="A62" s="12"/>
      <c r="B62" s="116"/>
      <c r="C62" s="117"/>
      <c r="D62" s="114"/>
      <c r="E62" s="71"/>
      <c r="F62" s="89"/>
      <c r="G62" s="71"/>
      <c r="H62" s="12"/>
      <c r="I62" s="12"/>
      <c r="J62" s="12"/>
      <c r="K62" s="12"/>
      <c r="L62" s="12"/>
      <c r="M62" s="12"/>
      <c r="N62" s="12"/>
      <c r="O62" s="12"/>
      <c r="P62" s="12"/>
      <c r="Q62" s="13"/>
      <c r="R62" s="18"/>
      <c r="S62" s="12"/>
      <c r="T62" s="15"/>
      <c r="U62" s="15"/>
      <c r="V62" s="15"/>
      <c r="W62" s="15"/>
      <c r="X62" s="18"/>
      <c r="Y62" s="18"/>
      <c r="Z62" s="18"/>
      <c r="AA62" s="36" t="str">
        <f t="shared" si="8"/>
        <v/>
      </c>
      <c r="AB62" s="1"/>
      <c r="AC62" s="1"/>
      <c r="AD62" s="1"/>
      <c r="AE62" s="1"/>
      <c r="AF62" s="1"/>
      <c r="AG62" s="1"/>
    </row>
    <row r="63" spans="1:33" ht="22.5" customHeight="1">
      <c r="A63" s="12"/>
      <c r="B63" s="115"/>
      <c r="C63" s="114"/>
      <c r="D63" s="114"/>
      <c r="E63" s="71"/>
      <c r="F63" s="89"/>
      <c r="G63" s="71"/>
      <c r="H63" s="12"/>
      <c r="I63" s="12"/>
      <c r="J63" s="12"/>
      <c r="K63" s="12"/>
      <c r="L63" s="12"/>
      <c r="M63" s="12"/>
      <c r="N63" s="12"/>
      <c r="O63" s="12"/>
      <c r="P63" s="12"/>
      <c r="Q63" s="13"/>
      <c r="R63" s="18"/>
      <c r="S63" s="12"/>
      <c r="T63" s="15"/>
      <c r="U63" s="15"/>
      <c r="V63" s="15"/>
      <c r="W63" s="15"/>
      <c r="X63" s="18"/>
      <c r="Y63" s="18"/>
      <c r="Z63" s="18"/>
      <c r="AA63" s="36" t="str">
        <f t="shared" si="8"/>
        <v/>
      </c>
      <c r="AB63" s="1"/>
      <c r="AC63" s="1"/>
      <c r="AD63" s="1"/>
      <c r="AE63" s="1"/>
      <c r="AF63" s="1"/>
      <c r="AG63" s="1"/>
    </row>
    <row r="64" spans="1:33" ht="22.5" customHeight="1">
      <c r="A64" s="12"/>
      <c r="B64" s="73"/>
      <c r="C64" s="114"/>
      <c r="D64" s="72"/>
      <c r="E64" s="71"/>
      <c r="F64" s="89"/>
      <c r="G64" s="71"/>
      <c r="H64" s="12"/>
      <c r="I64" s="12"/>
      <c r="J64" s="12"/>
      <c r="K64" s="12"/>
      <c r="L64" s="12"/>
      <c r="M64" s="12"/>
      <c r="N64" s="12"/>
      <c r="O64" s="12"/>
      <c r="P64" s="12"/>
      <c r="Q64" s="13"/>
      <c r="R64" s="18"/>
      <c r="S64" s="12"/>
      <c r="T64" s="15"/>
      <c r="U64" s="15"/>
      <c r="V64" s="15"/>
      <c r="W64" s="15"/>
      <c r="X64" s="18"/>
      <c r="Y64" s="18"/>
      <c r="Z64" s="18"/>
      <c r="AA64" s="36" t="str">
        <f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  <c r="AB64" s="1"/>
      <c r="AC64" s="1"/>
      <c r="AD64" s="1"/>
      <c r="AE64" s="1"/>
      <c r="AF64" s="1"/>
      <c r="AG64" s="1"/>
    </row>
    <row r="65" spans="1:33" ht="22.5" customHeight="1">
      <c r="A65" s="12"/>
      <c r="B65" s="73"/>
      <c r="C65" s="72"/>
      <c r="D65" s="72"/>
      <c r="E65" s="71"/>
      <c r="F65" s="89"/>
      <c r="G65" s="71"/>
      <c r="H65" s="12"/>
      <c r="I65" s="12"/>
      <c r="J65" s="12"/>
      <c r="K65" s="12"/>
      <c r="L65" s="12"/>
      <c r="M65" s="12"/>
      <c r="N65" s="12"/>
      <c r="O65" s="12"/>
      <c r="P65" s="12"/>
      <c r="Q65" s="13"/>
      <c r="R65" s="18"/>
      <c r="S65" s="12"/>
      <c r="T65" s="15"/>
      <c r="U65" s="15"/>
      <c r="V65" s="15"/>
      <c r="W65" s="15"/>
      <c r="X65" s="18"/>
      <c r="Y65" s="18"/>
      <c r="Z65" s="18"/>
      <c r="AA65" s="36" t="str">
        <f>IF(AND(EvalPower(E65:G65)=EvalPower(H65:Q65), EvalPower(P65)=EvalPower(U65:W65)), "", IF(AND(EvalPower(E65:G65)&lt;&gt;EvalPower(H65:Q65), EvalPower(P65)&lt;&gt;EvalPower(U65:W65)), "NG Total and Power total both mistake", IF(EvalPower(E65:G65)&lt;&gt;EvalPower(H65:Q65), "TOTAL ERROR", "POWER CUT ERROR!")))</f>
        <v/>
      </c>
      <c r="AB65" s="1"/>
      <c r="AC65" s="1"/>
      <c r="AD65" s="1"/>
      <c r="AE65" s="1"/>
      <c r="AF65" s="1"/>
      <c r="AG65" s="1"/>
    </row>
    <row r="66" spans="1:33" ht="22.5" customHeight="1">
      <c r="A66" s="12"/>
      <c r="B66" s="73"/>
      <c r="C66" s="72"/>
      <c r="D66" s="72"/>
      <c r="E66" s="71"/>
      <c r="F66" s="89"/>
      <c r="G66" s="71"/>
      <c r="H66" s="12"/>
      <c r="I66" s="12"/>
      <c r="J66" s="12"/>
      <c r="K66" s="12"/>
      <c r="L66" s="12"/>
      <c r="M66" s="12"/>
      <c r="N66" s="12"/>
      <c r="O66" s="12"/>
      <c r="P66" s="12"/>
      <c r="Q66" s="13"/>
      <c r="R66" s="18"/>
      <c r="S66" s="12"/>
      <c r="T66" s="15"/>
      <c r="U66" s="15"/>
      <c r="V66" s="15"/>
      <c r="W66" s="15"/>
      <c r="X66" s="18"/>
      <c r="Y66" s="18"/>
      <c r="Z66" s="18"/>
      <c r="AA66" s="36" t="str">
        <f>IF(AND(EvalPower(E66:G66)=EvalPower(H66:Q66), EvalPower(P66)=EvalPower(U66:W66)), "", IF(AND(EvalPower(E66:G66)&lt;&gt;EvalPower(H66:Q66), EvalPower(P66)&lt;&gt;EvalPower(U66:W66)), "NG Total and Power total both mistake", IF(EvalPower(E66:G66)&lt;&gt;EvalPower(H66:Q66), "TOTAL ERROR", "POWER CUT ERROR!")))</f>
        <v/>
      </c>
      <c r="AB66" s="1"/>
      <c r="AC66" s="1"/>
      <c r="AD66" s="1"/>
      <c r="AE66" s="1"/>
      <c r="AF66" s="1"/>
      <c r="AG66" s="1"/>
    </row>
    <row r="67" spans="1:33" ht="22.5" customHeight="1">
      <c r="A67" s="12"/>
      <c r="B67" s="73"/>
      <c r="C67" s="72"/>
      <c r="D67" s="72"/>
      <c r="E67" s="71"/>
      <c r="F67" s="71"/>
      <c r="G67" s="71"/>
      <c r="H67" s="12"/>
      <c r="I67" s="12"/>
      <c r="J67" s="12"/>
      <c r="K67" s="12"/>
      <c r="L67" s="12"/>
      <c r="M67" s="12"/>
      <c r="N67" s="12"/>
      <c r="O67" s="12"/>
      <c r="P67" s="12"/>
      <c r="Q67" s="13"/>
      <c r="R67" s="18"/>
      <c r="S67" s="12"/>
      <c r="T67" s="15"/>
      <c r="U67" s="15"/>
      <c r="V67" s="15"/>
      <c r="W67" s="15"/>
      <c r="X67" s="18"/>
      <c r="Y67" s="18"/>
      <c r="Z67" s="18"/>
      <c r="AA67" s="36" t="str">
        <f t="shared" si="8"/>
        <v/>
      </c>
      <c r="AB67" s="1"/>
      <c r="AC67" s="1"/>
      <c r="AD67" s="1"/>
      <c r="AE67" s="1"/>
      <c r="AF67" s="1"/>
      <c r="AG67" s="1"/>
    </row>
    <row r="68" spans="1:33" ht="22.5" customHeight="1">
      <c r="A68" s="12"/>
      <c r="B68" s="73"/>
      <c r="C68" s="72"/>
      <c r="D68" s="72"/>
      <c r="E68" s="71"/>
      <c r="F68" s="89"/>
      <c r="G68" s="71"/>
      <c r="H68" s="12"/>
      <c r="I68" s="12"/>
      <c r="J68" s="12"/>
      <c r="K68" s="12"/>
      <c r="L68" s="12"/>
      <c r="M68" s="12"/>
      <c r="N68" s="12"/>
      <c r="O68" s="12"/>
      <c r="P68" s="12"/>
      <c r="Q68" s="13"/>
      <c r="R68" s="18"/>
      <c r="S68" s="12"/>
      <c r="T68" s="15"/>
      <c r="U68" s="15"/>
      <c r="V68" s="15"/>
      <c r="W68" s="15"/>
      <c r="X68" s="18"/>
      <c r="Y68" s="18"/>
      <c r="Z68" s="18"/>
      <c r="AA68" s="36" t="str">
        <f>IF(AND(EvalPower(E68:G68)=EvalPower(H68:Q68), EvalPower(P68)=EvalPower(U68:W68)), "", IF(AND(EvalPower(E68:G68)&lt;&gt;EvalPower(H68:Q68), EvalPower(P68)&lt;&gt;EvalPower(U68:W68)), "NG Total and Power total both mistake", IF(EvalPower(E68:G68)&lt;&gt;EvalPower(H68:Q68), "TOTAL ERROR", "POWER CUT ERROR!")))</f>
        <v/>
      </c>
      <c r="AB68" s="1"/>
      <c r="AC68" s="1"/>
      <c r="AD68" s="1"/>
      <c r="AE68" s="1"/>
      <c r="AF68" s="1"/>
      <c r="AG68" s="1"/>
    </row>
    <row r="69" spans="1:33" ht="26.25" customHeight="1">
      <c r="A69" s="12"/>
      <c r="B69" s="73"/>
      <c r="C69" s="72"/>
      <c r="D69" s="72"/>
      <c r="E69" s="71"/>
      <c r="F69" s="70"/>
      <c r="G69" s="71"/>
      <c r="H69" s="12"/>
      <c r="I69" s="12"/>
      <c r="J69" s="12"/>
      <c r="K69" s="12"/>
      <c r="L69" s="12"/>
      <c r="M69" s="12"/>
      <c r="N69" s="12"/>
      <c r="O69" s="12"/>
      <c r="P69" s="12"/>
      <c r="Q69" s="13"/>
      <c r="R69" s="18"/>
      <c r="S69" s="12"/>
      <c r="T69" s="15"/>
      <c r="U69" s="15"/>
      <c r="V69" s="15"/>
      <c r="W69" s="15"/>
      <c r="X69" s="18"/>
      <c r="Y69" s="18"/>
      <c r="Z69" s="18"/>
      <c r="AA69" s="36" t="str">
        <f t="shared" si="8"/>
        <v/>
      </c>
      <c r="AB69" s="1"/>
      <c r="AC69" s="1"/>
      <c r="AD69" s="1"/>
      <c r="AE69" s="1"/>
      <c r="AF69" s="1"/>
      <c r="AG69" s="1"/>
    </row>
    <row r="70" spans="1:33" ht="22.5" customHeight="1">
      <c r="A70" s="12"/>
      <c r="B70" s="73"/>
      <c r="C70" s="72"/>
      <c r="D70" s="72"/>
      <c r="E70" s="71"/>
      <c r="F70" s="70"/>
      <c r="G70" s="71"/>
      <c r="H70" s="12"/>
      <c r="I70" s="12"/>
      <c r="J70" s="12"/>
      <c r="K70" s="12"/>
      <c r="L70" s="12"/>
      <c r="M70" s="12"/>
      <c r="N70" s="12"/>
      <c r="O70" s="12"/>
      <c r="P70" s="12"/>
      <c r="Q70" s="13"/>
      <c r="R70" s="18"/>
      <c r="S70" s="12"/>
      <c r="T70" s="15"/>
      <c r="U70" s="15"/>
      <c r="V70" s="15"/>
      <c r="W70" s="15"/>
      <c r="X70" s="18"/>
      <c r="Y70" s="18"/>
      <c r="Z70" s="18"/>
      <c r="AA70" s="36" t="str">
        <f t="shared" si="8"/>
        <v/>
      </c>
      <c r="AB70" s="1"/>
      <c r="AC70" s="1"/>
      <c r="AD70" s="1"/>
      <c r="AE70" s="1"/>
      <c r="AF70" s="1"/>
      <c r="AG70" s="1"/>
    </row>
    <row r="71" spans="1:33" ht="24.75" customHeight="1">
      <c r="A71" s="12"/>
      <c r="B71" s="73"/>
      <c r="C71" s="72"/>
      <c r="D71" s="72"/>
      <c r="E71" s="27"/>
      <c r="F71" s="70"/>
      <c r="G71" s="71"/>
      <c r="H71" s="12"/>
      <c r="I71" s="12"/>
      <c r="J71" s="12"/>
      <c r="K71" s="12"/>
      <c r="L71" s="12"/>
      <c r="M71" s="12"/>
      <c r="N71" s="12"/>
      <c r="O71" s="12"/>
      <c r="P71" s="12"/>
      <c r="Q71" s="13"/>
      <c r="R71" s="18"/>
      <c r="S71" s="12"/>
      <c r="T71" s="15"/>
      <c r="U71" s="15"/>
      <c r="V71" s="15"/>
      <c r="W71" s="15"/>
      <c r="X71" s="18"/>
      <c r="Y71" s="18"/>
      <c r="Z71" s="18"/>
      <c r="AA71" s="36" t="str">
        <f t="shared" si="6"/>
        <v/>
      </c>
      <c r="AB71" s="1"/>
      <c r="AC71" s="1"/>
      <c r="AD71" s="1"/>
      <c r="AE71" s="1"/>
      <c r="AF71" s="1"/>
      <c r="AG71" s="1"/>
    </row>
    <row r="72" spans="1:33" ht="22.5" customHeight="1">
      <c r="A72" s="12"/>
      <c r="B72" s="73"/>
      <c r="C72" s="72"/>
      <c r="D72" s="72"/>
      <c r="E72" s="27"/>
      <c r="F72" s="70"/>
      <c r="G72" s="71"/>
      <c r="H72" s="12"/>
      <c r="I72" s="12"/>
      <c r="J72" s="12"/>
      <c r="K72" s="12"/>
      <c r="L72" s="12"/>
      <c r="M72" s="12"/>
      <c r="N72" s="12"/>
      <c r="O72" s="12"/>
      <c r="P72" s="12"/>
      <c r="Q72" s="13"/>
      <c r="R72" s="18"/>
      <c r="S72" s="12"/>
      <c r="T72" s="15"/>
      <c r="U72" s="15"/>
      <c r="V72" s="15"/>
      <c r="W72" s="15"/>
      <c r="X72" s="18"/>
      <c r="Y72" s="18"/>
      <c r="Z72" s="18"/>
      <c r="AA72" s="36" t="str">
        <f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  <c r="AB72" s="1"/>
      <c r="AC72" s="1"/>
      <c r="AD72" s="1"/>
      <c r="AE72" s="1"/>
      <c r="AF72" s="1"/>
      <c r="AG72" s="1"/>
    </row>
    <row r="73" spans="1:33" ht="22.5" customHeight="1">
      <c r="A73" s="12"/>
      <c r="B73" s="73"/>
      <c r="C73" s="72"/>
      <c r="D73" s="72"/>
      <c r="E73" s="27"/>
      <c r="F73" s="70"/>
      <c r="G73" s="71"/>
      <c r="H73" s="12"/>
      <c r="I73" s="12"/>
      <c r="J73" s="12"/>
      <c r="K73" s="12"/>
      <c r="L73" s="12"/>
      <c r="M73" s="12"/>
      <c r="N73" s="12"/>
      <c r="O73" s="12"/>
      <c r="P73" s="12"/>
      <c r="Q73" s="13"/>
      <c r="R73" s="18"/>
      <c r="S73" s="12"/>
      <c r="T73" s="15"/>
      <c r="U73" s="15"/>
      <c r="V73" s="15"/>
      <c r="W73" s="15"/>
      <c r="X73" s="18"/>
      <c r="Y73" s="18"/>
      <c r="Z73" s="18"/>
      <c r="AA73" s="36" t="str">
        <f>IF(AND(EvalPower(E73:G73)=EvalPower(H73:Q73), EvalPower(P73)=EvalPower(U73:W73)), "", IF(AND(EvalPower(E73:G73)&lt;&gt;EvalPower(H73:Q73), EvalPower(P73)&lt;&gt;EvalPower(U73:W73)), "NG Total and Power total both mistake", IF(EvalPower(E73:G73)&lt;&gt;EvalPower(H73:Q73), "TOTAL ERROR", "POWER CUT ERROR!")))</f>
        <v/>
      </c>
      <c r="AB73" s="1"/>
      <c r="AC73" s="1"/>
      <c r="AD73" s="1"/>
      <c r="AE73" s="1"/>
      <c r="AF73" s="1"/>
      <c r="AG73" s="1"/>
    </row>
    <row r="74" spans="1:33" ht="32.25" customHeight="1">
      <c r="A74" s="12"/>
      <c r="B74" s="73"/>
      <c r="C74" s="72"/>
      <c r="D74" s="92"/>
      <c r="E74" s="27"/>
      <c r="F74" s="70"/>
      <c r="G74" s="71"/>
      <c r="H74" s="12"/>
      <c r="I74" s="12"/>
      <c r="J74" s="12"/>
      <c r="K74" s="12"/>
      <c r="L74" s="12"/>
      <c r="M74" s="12"/>
      <c r="N74" s="12"/>
      <c r="O74" s="12"/>
      <c r="P74" s="12"/>
      <c r="Q74" s="13"/>
      <c r="R74" s="18"/>
      <c r="S74" s="12"/>
      <c r="T74" s="15"/>
      <c r="U74" s="15"/>
      <c r="V74" s="15"/>
      <c r="W74" s="15"/>
      <c r="X74" s="18"/>
      <c r="Y74" s="18"/>
      <c r="Z74" s="18"/>
      <c r="AA74" s="36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  <c r="AB74" s="1"/>
      <c r="AC74" s="1"/>
      <c r="AD74" s="1"/>
      <c r="AE74" s="1"/>
      <c r="AF74" s="1"/>
      <c r="AG74" s="1"/>
    </row>
    <row r="75" spans="1:33" ht="22.5" customHeight="1">
      <c r="A75" s="12"/>
      <c r="B75" s="73"/>
      <c r="C75" s="72"/>
      <c r="D75" s="114"/>
      <c r="E75" s="27"/>
      <c r="F75" s="89"/>
      <c r="G75" s="71"/>
      <c r="H75" s="12"/>
      <c r="I75" s="12"/>
      <c r="J75" s="12"/>
      <c r="K75" s="12"/>
      <c r="L75" s="12"/>
      <c r="M75" s="12"/>
      <c r="N75" s="12"/>
      <c r="O75" s="12"/>
      <c r="P75" s="12"/>
      <c r="Q75" s="13"/>
      <c r="R75" s="18"/>
      <c r="S75" s="12"/>
      <c r="T75" s="15"/>
      <c r="U75" s="15"/>
      <c r="V75" s="15"/>
      <c r="W75" s="15"/>
      <c r="X75" s="18"/>
      <c r="Y75" s="18"/>
      <c r="Z75" s="18"/>
      <c r="AA75" s="36" t="str">
        <f>IF(AND(EvalPower(E75:G75)=EvalPower(H75:Q75), EvalPower(P75)=EvalPower(U75:W75)), "", IF(AND(EvalPower(E75:G75)&lt;&gt;EvalPower(H75:Q75), EvalPower(P75)&lt;&gt;EvalPower(U75:W75)), "NG Total and Power total both mistake", IF(EvalPower(E75:G75)&lt;&gt;EvalPower(H75:Q75), "TOTAL ERROR", "POWER CUT ERROR!")))</f>
        <v/>
      </c>
      <c r="AB75" s="1"/>
      <c r="AC75" s="1"/>
      <c r="AD75" s="1"/>
      <c r="AE75" s="1"/>
      <c r="AF75" s="1"/>
      <c r="AG75" s="1"/>
    </row>
    <row r="76" spans="1:33" ht="33" customHeight="1">
      <c r="A76" s="12"/>
      <c r="B76" s="73"/>
      <c r="C76" s="72"/>
      <c r="D76" s="72"/>
      <c r="E76" s="71"/>
      <c r="F76" s="71"/>
      <c r="G76" s="71"/>
      <c r="H76" s="12"/>
      <c r="I76" s="12"/>
      <c r="J76" s="12"/>
      <c r="K76" s="12"/>
      <c r="L76" s="12"/>
      <c r="M76" s="12"/>
      <c r="N76" s="12"/>
      <c r="O76" s="12"/>
      <c r="P76" s="12"/>
      <c r="Q76" s="13"/>
      <c r="R76" s="18"/>
      <c r="S76" s="12"/>
      <c r="T76" s="15"/>
      <c r="U76" s="15"/>
      <c r="V76" s="15"/>
      <c r="W76" s="15"/>
      <c r="X76" s="18"/>
      <c r="Y76" s="18"/>
      <c r="Z76" s="18"/>
      <c r="AA76" s="36" t="str">
        <f t="shared" ref="AA76:AA82" si="9">IF(AND(EvalPower(E76:G76)=EvalPower(H76:Q76), EvalPower(P76)=EvalPower(U76:W76)), "", IF(AND(EvalPower(E76:G76)&lt;&gt;EvalPower(H76:Q76), EvalPower(P76)&lt;&gt;EvalPower(U76:W76)), "NG Total and Power total both mistake", IF(EvalPower(E76:G76)&lt;&gt;EvalPower(H76:Q76), "TOTAL ERROR", "POWER CUT ERROR!")))</f>
        <v/>
      </c>
      <c r="AB76" s="1"/>
      <c r="AC76" s="1"/>
      <c r="AD76" s="1"/>
      <c r="AE76" s="1"/>
      <c r="AF76" s="1"/>
      <c r="AG76" s="1"/>
    </row>
    <row r="77" spans="1:33" ht="30.75" customHeight="1">
      <c r="A77" s="12"/>
      <c r="B77" s="73"/>
      <c r="C77" s="72"/>
      <c r="D77" s="113"/>
      <c r="E77" s="71"/>
      <c r="F77" s="70"/>
      <c r="G77" s="71"/>
      <c r="H77" s="12"/>
      <c r="I77" s="12"/>
      <c r="J77" s="12"/>
      <c r="K77" s="12"/>
      <c r="L77" s="12"/>
      <c r="M77" s="12"/>
      <c r="N77" s="12"/>
      <c r="O77" s="12"/>
      <c r="P77" s="12"/>
      <c r="Q77" s="13"/>
      <c r="R77" s="18"/>
      <c r="S77" s="12"/>
      <c r="T77" s="15"/>
      <c r="U77" s="15"/>
      <c r="V77" s="15"/>
      <c r="W77" s="15"/>
      <c r="X77" s="18"/>
      <c r="Y77" s="18"/>
      <c r="Z77" s="18"/>
      <c r="AA77" s="36" t="str">
        <f>IF(AND(EvalPower(E77:G77)=EvalPower(H77:Q77), EvalPower(P77)=EvalPower(U77:W77)), "", IF(AND(EvalPower(E77:G77)&lt;&gt;EvalPower(H77:Q77), EvalPower(P77)&lt;&gt;EvalPower(U77:W77)), "NG Total and Power total both mistake", IF(EvalPower(E77:G77)&lt;&gt;EvalPower(H77:Q77), "TOTAL ERROR", "POWER CUT ERROR!")))</f>
        <v/>
      </c>
      <c r="AB77" s="1"/>
      <c r="AC77" s="1"/>
      <c r="AD77" s="1"/>
      <c r="AE77" s="1"/>
      <c r="AF77" s="1"/>
      <c r="AG77" s="1"/>
    </row>
    <row r="78" spans="1:33" ht="38.25" customHeight="1">
      <c r="A78" s="12"/>
      <c r="B78" s="73"/>
      <c r="C78" s="72"/>
      <c r="D78" s="72"/>
      <c r="E78" s="71"/>
      <c r="F78" s="89"/>
      <c r="G78" s="71"/>
      <c r="H78" s="12"/>
      <c r="I78" s="12"/>
      <c r="J78" s="12"/>
      <c r="K78" s="12"/>
      <c r="L78" s="12"/>
      <c r="M78" s="12"/>
      <c r="N78" s="12"/>
      <c r="O78" s="12"/>
      <c r="P78" s="12"/>
      <c r="Q78" s="13"/>
      <c r="R78" s="18"/>
      <c r="S78" s="12"/>
      <c r="T78" s="15"/>
      <c r="U78" s="15"/>
      <c r="V78" s="15"/>
      <c r="W78" s="15"/>
      <c r="X78" s="18"/>
      <c r="Y78" s="18"/>
      <c r="Z78" s="18"/>
      <c r="AA78" s="36" t="str">
        <f>IF(AND(EvalPower(E78:G78)=EvalPower(H78:Q78), EvalPower(P78)=EvalPower(U78:W78)), "", IF(AND(EvalPower(E78:G78)&lt;&gt;EvalPower(H78:Q78), EvalPower(P78)&lt;&gt;EvalPower(U78:W78)), "NG Total and Power total both mistake", IF(EvalPower(E78:G78)&lt;&gt;EvalPower(H78:Q78), "TOTAL ERROR", "POWER CUT ERROR!")))</f>
        <v/>
      </c>
      <c r="AB78" s="1"/>
      <c r="AC78" s="1"/>
      <c r="AD78" s="1"/>
      <c r="AE78" s="1"/>
      <c r="AF78" s="1"/>
      <c r="AG78" s="1"/>
    </row>
    <row r="79" spans="1:33" ht="36" customHeight="1">
      <c r="A79" s="12"/>
      <c r="B79" s="73"/>
      <c r="C79" s="72"/>
      <c r="D79" s="72"/>
      <c r="E79" s="71"/>
      <c r="F79" s="71"/>
      <c r="G79" s="71"/>
      <c r="H79" s="12"/>
      <c r="I79" s="12"/>
      <c r="J79" s="12"/>
      <c r="K79" s="12"/>
      <c r="L79" s="12"/>
      <c r="M79" s="12"/>
      <c r="N79" s="12"/>
      <c r="O79" s="12"/>
      <c r="P79" s="12"/>
      <c r="Q79" s="13"/>
      <c r="R79" s="18"/>
      <c r="S79" s="12"/>
      <c r="T79" s="15"/>
      <c r="U79" s="15"/>
      <c r="V79" s="15"/>
      <c r="W79" s="15"/>
      <c r="X79" s="18"/>
      <c r="Y79" s="18"/>
      <c r="Z79" s="18"/>
      <c r="AA79" s="36" t="str">
        <f t="shared" si="9"/>
        <v/>
      </c>
      <c r="AB79" s="1"/>
      <c r="AC79" s="1"/>
      <c r="AD79" s="1"/>
      <c r="AE79" s="1"/>
      <c r="AF79" s="1"/>
      <c r="AG79" s="1"/>
    </row>
    <row r="80" spans="1:33" ht="22.5" customHeight="1">
      <c r="A80" s="12"/>
      <c r="B80" s="88"/>
      <c r="C80" s="72"/>
      <c r="D80" s="92"/>
      <c r="E80" s="71"/>
      <c r="F80" s="71"/>
      <c r="G80" s="71"/>
      <c r="H80" s="12"/>
      <c r="I80" s="12"/>
      <c r="J80" s="12"/>
      <c r="K80" s="12"/>
      <c r="L80" s="12"/>
      <c r="M80" s="12"/>
      <c r="N80" s="12"/>
      <c r="O80" s="12"/>
      <c r="P80" s="12"/>
      <c r="Q80" s="13"/>
      <c r="R80" s="18"/>
      <c r="S80" s="12"/>
      <c r="T80" s="15"/>
      <c r="U80" s="15"/>
      <c r="V80" s="15"/>
      <c r="W80" s="15"/>
      <c r="X80" s="18"/>
      <c r="Y80" s="18"/>
      <c r="Z80" s="18"/>
      <c r="AA80" s="36" t="str">
        <f t="shared" si="9"/>
        <v/>
      </c>
      <c r="AB80" s="1"/>
      <c r="AC80" s="1"/>
      <c r="AD80" s="1"/>
      <c r="AE80" s="1"/>
      <c r="AF80" s="1"/>
      <c r="AG80" s="1"/>
    </row>
    <row r="81" spans="1:33" ht="22.5" customHeight="1">
      <c r="A81" s="12"/>
      <c r="B81" s="88"/>
      <c r="C81" s="72"/>
      <c r="D81" s="92"/>
      <c r="E81" s="27"/>
      <c r="F81" s="27"/>
      <c r="G81" s="71"/>
      <c r="H81" s="12"/>
      <c r="I81" s="12"/>
      <c r="J81" s="12"/>
      <c r="K81" s="12"/>
      <c r="L81" s="12"/>
      <c r="M81" s="12"/>
      <c r="N81" s="12"/>
      <c r="O81" s="12"/>
      <c r="P81" s="12"/>
      <c r="Q81" s="13"/>
      <c r="R81" s="18"/>
      <c r="S81" s="12"/>
      <c r="T81" s="15"/>
      <c r="U81" s="15"/>
      <c r="V81" s="15"/>
      <c r="W81" s="15"/>
      <c r="X81" s="18"/>
      <c r="Y81" s="18"/>
      <c r="Z81" s="18"/>
      <c r="AA81" s="36" t="str">
        <f t="shared" si="9"/>
        <v/>
      </c>
      <c r="AB81" s="1"/>
      <c r="AC81" s="1"/>
      <c r="AD81" s="1"/>
      <c r="AE81" s="1"/>
      <c r="AF81" s="1"/>
      <c r="AG81" s="1"/>
    </row>
    <row r="82" spans="1:33" ht="22.5" customHeight="1">
      <c r="A82" s="12"/>
      <c r="B82" s="69"/>
      <c r="C82" s="72"/>
      <c r="D82" s="72"/>
      <c r="E82" s="27"/>
      <c r="F82" s="27"/>
      <c r="G82" s="71"/>
      <c r="H82" s="12"/>
      <c r="I82" s="12"/>
      <c r="J82" s="12"/>
      <c r="K82" s="12"/>
      <c r="L82" s="12"/>
      <c r="M82" s="12"/>
      <c r="N82" s="12"/>
      <c r="O82" s="12"/>
      <c r="P82" s="12"/>
      <c r="Q82" s="13"/>
      <c r="R82" s="18"/>
      <c r="S82" s="12"/>
      <c r="T82" s="15"/>
      <c r="U82" s="15"/>
      <c r="V82" s="15"/>
      <c r="W82" s="15"/>
      <c r="X82" s="18"/>
      <c r="Y82" s="18"/>
      <c r="Z82" s="18"/>
      <c r="AA82" s="36" t="str">
        <f t="shared" si="9"/>
        <v/>
      </c>
      <c r="AB82" s="1"/>
      <c r="AC82" s="1"/>
      <c r="AD82" s="1"/>
      <c r="AE82" s="1"/>
      <c r="AF82" s="1"/>
      <c r="AG82" s="1"/>
    </row>
    <row r="83" spans="1:33" ht="22.5" customHeight="1">
      <c r="A83" s="12"/>
      <c r="B83" s="69"/>
      <c r="C83" s="72"/>
      <c r="D83" s="92"/>
      <c r="E83" s="71"/>
      <c r="F83" s="71"/>
      <c r="G83" s="71"/>
      <c r="H83" s="12"/>
      <c r="I83" s="12"/>
      <c r="J83" s="12"/>
      <c r="K83" s="12"/>
      <c r="L83" s="12"/>
      <c r="M83" s="12"/>
      <c r="N83" s="12"/>
      <c r="O83" s="12"/>
      <c r="P83" s="12"/>
      <c r="Q83" s="13"/>
      <c r="R83" s="18"/>
      <c r="S83" s="12"/>
      <c r="T83" s="15"/>
      <c r="U83" s="15"/>
      <c r="V83" s="15"/>
      <c r="W83" s="15"/>
      <c r="X83" s="18"/>
      <c r="Y83" s="18"/>
      <c r="Z83" s="18"/>
      <c r="AA83" s="36" t="str">
        <f t="shared" si="6"/>
        <v/>
      </c>
      <c r="AB83" s="1"/>
      <c r="AC83" s="1"/>
      <c r="AD83" s="1"/>
      <c r="AE83" s="1"/>
      <c r="AF83" s="1"/>
      <c r="AG83" s="1"/>
    </row>
    <row r="84" spans="1:33" ht="22.5" customHeight="1">
      <c r="A84" s="12"/>
      <c r="B84" s="88"/>
      <c r="C84" s="72"/>
      <c r="D84" s="92"/>
      <c r="E84" s="71"/>
      <c r="F84" s="71"/>
      <c r="G84" s="71"/>
      <c r="H84" s="12"/>
      <c r="I84" s="12"/>
      <c r="J84" s="12"/>
      <c r="K84" s="12"/>
      <c r="L84" s="12"/>
      <c r="M84" s="12"/>
      <c r="N84" s="12"/>
      <c r="O84" s="12"/>
      <c r="P84" s="12"/>
      <c r="Q84" s="13"/>
      <c r="R84" s="18"/>
      <c r="S84" s="12"/>
      <c r="T84" s="15"/>
      <c r="U84" s="15"/>
      <c r="V84" s="15"/>
      <c r="W84" s="15"/>
      <c r="X84" s="18"/>
      <c r="Y84" s="18"/>
      <c r="Z84" s="18"/>
      <c r="AA84" s="36" t="str">
        <f t="shared" si="6"/>
        <v/>
      </c>
      <c r="AB84" s="1"/>
      <c r="AC84" s="1"/>
      <c r="AD84" s="1"/>
      <c r="AE84" s="1"/>
      <c r="AF84" s="1"/>
      <c r="AG84" s="1"/>
    </row>
    <row r="85" spans="1:33" ht="22.5" customHeight="1">
      <c r="A85" s="12"/>
      <c r="B85" s="88"/>
      <c r="C85" s="72"/>
      <c r="D85" s="92"/>
      <c r="E85" s="71"/>
      <c r="F85" s="71"/>
      <c r="G85" s="71"/>
      <c r="H85" s="12"/>
      <c r="I85" s="12"/>
      <c r="J85" s="12"/>
      <c r="K85" s="12"/>
      <c r="L85" s="12"/>
      <c r="M85" s="12"/>
      <c r="N85" s="12"/>
      <c r="O85" s="12"/>
      <c r="P85" s="12"/>
      <c r="Q85" s="13"/>
      <c r="R85" s="18"/>
      <c r="S85" s="12"/>
      <c r="T85" s="15"/>
      <c r="U85" s="15"/>
      <c r="V85" s="15"/>
      <c r="W85" s="15"/>
      <c r="X85" s="18"/>
      <c r="Y85" s="18"/>
      <c r="Z85" s="18"/>
      <c r="AA85" s="36" t="str">
        <f t="shared" ref="AA85:AA93" si="10">IF(AND(EvalPower(E85:G85)=EvalPower(H85:Q85), EvalPower(P85)=EvalPower(U85:W85)), "", IF(AND(EvalPower(E85:G85)&lt;&gt;EvalPower(H85:Q85), EvalPower(P85)&lt;&gt;EvalPower(U85:W85)), "NG Total and Power total both mistake", IF(EvalPower(E85:G85)&lt;&gt;EvalPower(H85:Q85), "TOTAL ERROR", "POWER CUT ERROR!")))</f>
        <v/>
      </c>
      <c r="AB85" s="1"/>
      <c r="AC85" s="1"/>
      <c r="AD85" s="1"/>
      <c r="AE85" s="1"/>
      <c r="AF85" s="1"/>
      <c r="AG85" s="1"/>
    </row>
    <row r="86" spans="1:33" ht="22.5" customHeight="1">
      <c r="A86" s="12"/>
      <c r="B86" s="88"/>
      <c r="C86" s="72"/>
      <c r="D86" s="92"/>
      <c r="E86" s="71"/>
      <c r="F86" s="71"/>
      <c r="G86" s="71"/>
      <c r="H86" s="12"/>
      <c r="I86" s="12"/>
      <c r="J86" s="12"/>
      <c r="K86" s="12"/>
      <c r="L86" s="12"/>
      <c r="M86" s="12"/>
      <c r="N86" s="12"/>
      <c r="O86" s="12"/>
      <c r="P86" s="12"/>
      <c r="Q86" s="13"/>
      <c r="R86" s="18"/>
      <c r="S86" s="12"/>
      <c r="T86" s="15"/>
      <c r="U86" s="15"/>
      <c r="V86" s="15"/>
      <c r="W86" s="15"/>
      <c r="X86" s="18"/>
      <c r="Y86" s="18"/>
      <c r="Z86" s="18"/>
      <c r="AA86" s="36" t="str">
        <f>IF(AND(EvalPower(E86:G86)=EvalPower(H86:Q86), EvalPower(P86)=EvalPower(U86:W86)), "", IF(AND(EvalPower(E86:G86)&lt;&gt;EvalPower(H86:Q86), EvalPower(P86)&lt;&gt;EvalPower(U86:W86)), "NG Total and Power total both mistake", IF(EvalPower(E86:G86)&lt;&gt;EvalPower(H86:Q86), "TOTAL ERROR", "POWER CUT ERROR!")))</f>
        <v/>
      </c>
      <c r="AB86" s="1"/>
      <c r="AC86" s="1"/>
      <c r="AD86" s="1"/>
      <c r="AE86" s="1"/>
      <c r="AF86" s="1"/>
      <c r="AG86" s="1"/>
    </row>
    <row r="87" spans="1:33" ht="38.25" customHeight="1">
      <c r="A87" s="12"/>
      <c r="B87" s="88"/>
      <c r="C87" s="72"/>
      <c r="D87" s="92"/>
      <c r="E87" s="71"/>
      <c r="F87" s="71"/>
      <c r="G87" s="71"/>
      <c r="H87" s="12"/>
      <c r="I87" s="12"/>
      <c r="J87" s="12"/>
      <c r="K87" s="12"/>
      <c r="L87" s="12"/>
      <c r="M87" s="12"/>
      <c r="N87" s="12"/>
      <c r="O87" s="12"/>
      <c r="P87" s="12"/>
      <c r="Q87" s="13"/>
      <c r="R87" s="18"/>
      <c r="S87" s="12"/>
      <c r="T87" s="15"/>
      <c r="U87" s="15"/>
      <c r="V87" s="15"/>
      <c r="W87" s="15"/>
      <c r="X87" s="18"/>
      <c r="Y87" s="18"/>
      <c r="Z87" s="18"/>
      <c r="AA87" s="36" t="str">
        <f t="shared" si="10"/>
        <v/>
      </c>
      <c r="AB87" s="1"/>
      <c r="AC87" s="1"/>
      <c r="AD87" s="1"/>
      <c r="AE87" s="1"/>
      <c r="AF87" s="1"/>
      <c r="AG87" s="1"/>
    </row>
    <row r="88" spans="1:33" ht="22.5" customHeight="1">
      <c r="A88" s="12"/>
      <c r="B88" s="88"/>
      <c r="C88" s="72"/>
      <c r="D88" s="92"/>
      <c r="E88" s="71"/>
      <c r="F88" s="71"/>
      <c r="G88" s="71"/>
      <c r="H88" s="12"/>
      <c r="I88" s="12"/>
      <c r="J88" s="12"/>
      <c r="K88" s="12"/>
      <c r="L88" s="12"/>
      <c r="M88" s="12"/>
      <c r="N88" s="12"/>
      <c r="O88" s="12"/>
      <c r="P88" s="12"/>
      <c r="Q88" s="13"/>
      <c r="R88" s="18"/>
      <c r="S88" s="12"/>
      <c r="T88" s="15"/>
      <c r="U88" s="15"/>
      <c r="V88" s="15"/>
      <c r="W88" s="15"/>
      <c r="X88" s="18"/>
      <c r="Y88" s="18"/>
      <c r="Z88" s="18"/>
      <c r="AA88" s="36" t="str">
        <f t="shared" si="10"/>
        <v/>
      </c>
      <c r="AB88" s="1"/>
      <c r="AC88" s="1"/>
      <c r="AD88" s="1"/>
      <c r="AE88" s="1"/>
      <c r="AF88" s="1"/>
      <c r="AG88" s="1"/>
    </row>
    <row r="89" spans="1:33" ht="22.5" customHeight="1">
      <c r="A89" s="12"/>
      <c r="B89" s="88"/>
      <c r="C89" s="72"/>
      <c r="D89" s="92"/>
      <c r="E89" s="71"/>
      <c r="F89" s="71"/>
      <c r="G89" s="71"/>
      <c r="H89" s="12"/>
      <c r="I89" s="12"/>
      <c r="J89" s="12"/>
      <c r="K89" s="12"/>
      <c r="L89" s="12"/>
      <c r="M89" s="12"/>
      <c r="N89" s="12"/>
      <c r="O89" s="12"/>
      <c r="P89" s="12"/>
      <c r="Q89" s="13"/>
      <c r="R89" s="18"/>
      <c r="S89" s="12"/>
      <c r="T89" s="15"/>
      <c r="U89" s="15"/>
      <c r="V89" s="15"/>
      <c r="W89" s="15"/>
      <c r="X89" s="18"/>
      <c r="Y89" s="18"/>
      <c r="Z89" s="18"/>
      <c r="AA89" s="36" t="str">
        <f>IF(AND(EvalPower(E89:G89)=EvalPower(H89:Q89), EvalPower(P89)=EvalPower(U89:W89)), "", IF(AND(EvalPower(E89:G89)&lt;&gt;EvalPower(H89:Q89), EvalPower(P89)&lt;&gt;EvalPower(U89:W89)), "NG Total and Power total both mistake", IF(EvalPower(E89:G89)&lt;&gt;EvalPower(H89:Q89), "TOTAL ERROR", "POWER CUT ERROR!")))</f>
        <v/>
      </c>
      <c r="AB89" s="1"/>
      <c r="AC89" s="1"/>
      <c r="AD89" s="1"/>
      <c r="AE89" s="1"/>
      <c r="AF89" s="1"/>
      <c r="AG89" s="1"/>
    </row>
    <row r="90" spans="1:33" ht="22.5" customHeight="1">
      <c r="A90" s="12"/>
      <c r="B90" s="88"/>
      <c r="C90" s="72"/>
      <c r="D90" s="92"/>
      <c r="E90" s="71"/>
      <c r="F90" s="71"/>
      <c r="G90" s="71"/>
      <c r="H90" s="12"/>
      <c r="I90" s="12"/>
      <c r="J90" s="12"/>
      <c r="K90" s="12"/>
      <c r="L90" s="12"/>
      <c r="M90" s="12"/>
      <c r="N90" s="12"/>
      <c r="O90" s="12"/>
      <c r="P90" s="12"/>
      <c r="Q90" s="13"/>
      <c r="R90" s="18"/>
      <c r="S90" s="12"/>
      <c r="T90" s="15"/>
      <c r="U90" s="15"/>
      <c r="V90" s="15"/>
      <c r="W90" s="15"/>
      <c r="X90" s="18"/>
      <c r="Y90" s="18"/>
      <c r="Z90" s="18"/>
      <c r="AA90" s="36" t="str">
        <f t="shared" si="10"/>
        <v/>
      </c>
      <c r="AB90" s="1"/>
      <c r="AC90" s="1"/>
      <c r="AD90" s="1"/>
      <c r="AE90" s="1"/>
      <c r="AF90" s="1"/>
      <c r="AG90" s="1"/>
    </row>
    <row r="91" spans="1:33" ht="22.5" customHeight="1">
      <c r="A91" s="12"/>
      <c r="B91" s="88"/>
      <c r="C91" s="72"/>
      <c r="D91" s="92"/>
      <c r="E91" s="71"/>
      <c r="F91" s="71"/>
      <c r="G91" s="71"/>
      <c r="H91" s="12"/>
      <c r="I91" s="12"/>
      <c r="J91" s="12"/>
      <c r="K91" s="12"/>
      <c r="L91" s="12"/>
      <c r="M91" s="12"/>
      <c r="N91" s="12"/>
      <c r="O91" s="12"/>
      <c r="P91" s="12"/>
      <c r="Q91" s="13"/>
      <c r="R91" s="18"/>
      <c r="S91" s="12"/>
      <c r="T91" s="15"/>
      <c r="U91" s="15"/>
      <c r="V91" s="15"/>
      <c r="W91" s="15"/>
      <c r="X91" s="18"/>
      <c r="Y91" s="18"/>
      <c r="Z91" s="18"/>
      <c r="AA91" s="36" t="str">
        <f t="shared" si="10"/>
        <v/>
      </c>
      <c r="AB91" s="1"/>
      <c r="AC91" s="1"/>
      <c r="AD91" s="1"/>
      <c r="AE91" s="1"/>
      <c r="AF91" s="1"/>
      <c r="AG91" s="1"/>
    </row>
    <row r="92" spans="1:33" ht="33" customHeight="1">
      <c r="A92" s="12"/>
      <c r="B92" s="88"/>
      <c r="C92" s="72"/>
      <c r="D92" s="92"/>
      <c r="E92" s="71"/>
      <c r="F92" s="71"/>
      <c r="G92" s="71"/>
      <c r="H92" s="12"/>
      <c r="I92" s="12"/>
      <c r="J92" s="12"/>
      <c r="K92" s="12"/>
      <c r="L92" s="12"/>
      <c r="M92" s="12"/>
      <c r="N92" s="12"/>
      <c r="O92" s="12"/>
      <c r="P92" s="12"/>
      <c r="Q92" s="13"/>
      <c r="R92" s="18"/>
      <c r="S92" s="12"/>
      <c r="T92" s="15"/>
      <c r="U92" s="15"/>
      <c r="V92" s="15"/>
      <c r="W92" s="15"/>
      <c r="X92" s="18"/>
      <c r="Y92" s="18"/>
      <c r="Z92" s="18"/>
      <c r="AA92" s="36" t="str">
        <f t="shared" si="10"/>
        <v/>
      </c>
      <c r="AB92" s="1"/>
      <c r="AC92" s="1"/>
      <c r="AD92" s="1"/>
      <c r="AE92" s="1"/>
      <c r="AF92" s="1"/>
      <c r="AG92" s="1"/>
    </row>
    <row r="93" spans="1:33" ht="22.5" customHeight="1">
      <c r="A93" s="12"/>
      <c r="B93" s="88"/>
      <c r="C93" s="72"/>
      <c r="D93" s="92"/>
      <c r="E93" s="71"/>
      <c r="F93" s="71"/>
      <c r="G93" s="71"/>
      <c r="H93" s="12"/>
      <c r="I93" s="12"/>
      <c r="J93" s="12"/>
      <c r="K93" s="12"/>
      <c r="L93" s="12"/>
      <c r="M93" s="12"/>
      <c r="N93" s="12"/>
      <c r="O93" s="12"/>
      <c r="P93" s="12"/>
      <c r="Q93" s="13"/>
      <c r="R93" s="18"/>
      <c r="S93" s="12"/>
      <c r="T93" s="15"/>
      <c r="U93" s="15"/>
      <c r="V93" s="15"/>
      <c r="W93" s="15"/>
      <c r="X93" s="18"/>
      <c r="Y93" s="18"/>
      <c r="Z93" s="18"/>
      <c r="AA93" s="36" t="str">
        <f t="shared" si="10"/>
        <v/>
      </c>
      <c r="AB93" s="1"/>
      <c r="AC93" s="1"/>
      <c r="AD93" s="1"/>
      <c r="AE93" s="1"/>
      <c r="AF93" s="1"/>
      <c r="AG93" s="1"/>
    </row>
    <row r="94" spans="1:33" ht="22.5" customHeight="1">
      <c r="A94" s="12"/>
      <c r="B94" s="88"/>
      <c r="C94" s="72"/>
      <c r="D94" s="92"/>
      <c r="E94" s="71"/>
      <c r="F94" s="71"/>
      <c r="G94" s="71"/>
      <c r="H94" s="12"/>
      <c r="I94" s="12"/>
      <c r="J94" s="12"/>
      <c r="K94" s="12"/>
      <c r="L94" s="12"/>
      <c r="M94" s="12"/>
      <c r="N94" s="12"/>
      <c r="O94" s="12"/>
      <c r="P94" s="12"/>
      <c r="Q94" s="13"/>
      <c r="R94" s="18"/>
      <c r="S94" s="12"/>
      <c r="T94" s="15"/>
      <c r="U94" s="15"/>
      <c r="V94" s="15"/>
      <c r="W94" s="15"/>
      <c r="X94" s="18"/>
      <c r="Y94" s="18"/>
      <c r="Z94" s="18"/>
      <c r="AA94" s="36" t="str">
        <f t="shared" si="6"/>
        <v/>
      </c>
      <c r="AB94" s="1"/>
      <c r="AC94" s="1"/>
      <c r="AD94" s="1"/>
      <c r="AE94" s="1"/>
      <c r="AF94" s="1"/>
      <c r="AG94" s="1"/>
    </row>
    <row r="95" spans="1:33" ht="22.5" customHeight="1">
      <c r="A95" s="12"/>
      <c r="B95" s="88"/>
      <c r="C95" s="72"/>
      <c r="D95" s="92"/>
      <c r="E95" s="71"/>
      <c r="F95" s="71"/>
      <c r="G95" s="71"/>
      <c r="H95" s="12"/>
      <c r="I95" s="12"/>
      <c r="J95" s="12"/>
      <c r="K95" s="12"/>
      <c r="L95" s="12"/>
      <c r="M95" s="12"/>
      <c r="N95" s="12"/>
      <c r="O95" s="12"/>
      <c r="P95" s="12"/>
      <c r="Q95" s="13"/>
      <c r="R95" s="18"/>
      <c r="S95" s="12"/>
      <c r="T95" s="15"/>
      <c r="U95" s="15"/>
      <c r="V95" s="15"/>
      <c r="W95" s="15"/>
      <c r="X95" s="18"/>
      <c r="Y95" s="18"/>
      <c r="Z95" s="18"/>
      <c r="AA95" s="36" t="str">
        <f t="shared" si="6"/>
        <v/>
      </c>
      <c r="AB95" s="1"/>
      <c r="AC95" s="1"/>
      <c r="AD95" s="1"/>
      <c r="AE95" s="1"/>
      <c r="AF95" s="1"/>
      <c r="AG95" s="1"/>
    </row>
    <row r="96" spans="1:33" ht="22.5" customHeight="1">
      <c r="A96" s="12"/>
      <c r="B96" s="88"/>
      <c r="C96" s="72"/>
      <c r="D96" s="92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3"/>
      <c r="R96" s="18"/>
      <c r="S96" s="12"/>
      <c r="T96" s="15"/>
      <c r="U96" s="15"/>
      <c r="V96" s="15"/>
      <c r="W96" s="15"/>
      <c r="X96" s="18"/>
      <c r="Y96" s="18"/>
      <c r="Z96" s="18"/>
      <c r="AA96" s="36" t="str">
        <f t="shared" si="6"/>
        <v/>
      </c>
      <c r="AB96" s="1"/>
      <c r="AC96" s="1"/>
      <c r="AD96" s="1"/>
      <c r="AE96" s="1"/>
      <c r="AF96" s="1"/>
      <c r="AG96" s="1"/>
    </row>
    <row r="97" spans="1:33" ht="22.5" customHeight="1">
      <c r="A97" s="12"/>
      <c r="B97" s="88"/>
      <c r="C97" s="72"/>
      <c r="D97" s="92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3"/>
      <c r="R97" s="18"/>
      <c r="S97" s="12"/>
      <c r="T97" s="15"/>
      <c r="U97" s="15"/>
      <c r="V97" s="15"/>
      <c r="W97" s="15"/>
      <c r="X97" s="18"/>
      <c r="Y97" s="18"/>
      <c r="Z97" s="18"/>
      <c r="AA97" s="36" t="str">
        <f>IF(AND(EvalPower(E97:G97)=EvalPower(H97:Q97), EvalPower(P97)=EvalPower(U97:W97)), "", IF(AND(EvalPower(E97:G97)&lt;&gt;EvalPower(H97:Q97), EvalPower(P97)&lt;&gt;EvalPower(U97:W97)), "NG Total and Power total both mistake", IF(EvalPower(E97:G97)&lt;&gt;EvalPower(H97:Q97), "TOTAL ERROR", "POWER CUT ERROR!")))</f>
        <v/>
      </c>
      <c r="AB97" s="1"/>
      <c r="AC97" s="1"/>
      <c r="AD97" s="1"/>
      <c r="AE97" s="1"/>
      <c r="AF97" s="1"/>
      <c r="AG97" s="1"/>
    </row>
    <row r="98" spans="1:33" ht="22.5" customHeight="1">
      <c r="A98" s="12"/>
      <c r="B98" s="73"/>
      <c r="C98" s="72"/>
      <c r="D98" s="93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3"/>
      <c r="R98" s="18"/>
      <c r="S98" s="12"/>
      <c r="T98" s="15"/>
      <c r="U98" s="15"/>
      <c r="V98" s="15"/>
      <c r="W98" s="15"/>
      <c r="X98" s="18"/>
      <c r="Y98" s="18"/>
      <c r="Z98" s="18"/>
      <c r="AA98" s="36" t="str">
        <f t="shared" si="6"/>
        <v/>
      </c>
      <c r="AB98" s="1"/>
      <c r="AC98" s="1"/>
      <c r="AD98" s="1"/>
      <c r="AE98" s="1"/>
      <c r="AF98" s="1"/>
      <c r="AG98" s="1"/>
    </row>
    <row r="99" spans="1:33" ht="22.5" customHeight="1">
      <c r="A99" s="12"/>
      <c r="B99" s="73"/>
      <c r="C99" s="72"/>
      <c r="D99" s="93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3"/>
      <c r="R99" s="18"/>
      <c r="S99" s="12"/>
      <c r="T99" s="15"/>
      <c r="U99" s="15"/>
      <c r="V99" s="15"/>
      <c r="W99" s="15"/>
      <c r="X99" s="18"/>
      <c r="Y99" s="18"/>
      <c r="Z99" s="18"/>
      <c r="AA99" s="36" t="str">
        <f t="shared" si="6"/>
        <v/>
      </c>
      <c r="AB99" s="1"/>
      <c r="AC99" s="1"/>
      <c r="AD99" s="1"/>
      <c r="AE99" s="1"/>
      <c r="AF99" s="1"/>
      <c r="AG99" s="1"/>
    </row>
    <row r="100" spans="1:33" ht="22.5" customHeight="1">
      <c r="A100" s="12"/>
      <c r="B100" s="88"/>
      <c r="C100" s="72"/>
      <c r="D100" s="93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3"/>
      <c r="R100" s="18"/>
      <c r="S100" s="12"/>
      <c r="T100" s="15"/>
      <c r="U100" s="15"/>
      <c r="V100" s="15"/>
      <c r="W100" s="15"/>
      <c r="X100" s="18"/>
      <c r="Y100" s="18"/>
      <c r="Z100" s="18"/>
      <c r="AA100" s="36" t="str">
        <f t="shared" si="6"/>
        <v/>
      </c>
      <c r="AB100" s="1"/>
      <c r="AC100" s="1"/>
      <c r="AD100" s="1"/>
      <c r="AE100" s="1"/>
      <c r="AF100" s="1"/>
      <c r="AG100" s="1"/>
    </row>
    <row r="101" spans="1:33" ht="22.5" customHeight="1">
      <c r="A101" s="12"/>
      <c r="B101" s="88"/>
      <c r="C101" s="72"/>
      <c r="D101" s="93"/>
      <c r="E101" s="27"/>
      <c r="F101" s="27"/>
      <c r="G101" s="27"/>
      <c r="H101" s="12"/>
      <c r="I101" s="12"/>
      <c r="J101" s="12"/>
      <c r="K101" s="12"/>
      <c r="L101" s="12"/>
      <c r="M101" s="12"/>
      <c r="N101" s="12"/>
      <c r="O101" s="12"/>
      <c r="P101" s="12"/>
      <c r="Q101" s="13"/>
      <c r="R101" s="18"/>
      <c r="S101" s="12"/>
      <c r="T101" s="15"/>
      <c r="U101" s="15"/>
      <c r="V101" s="15"/>
      <c r="W101" s="15"/>
      <c r="X101" s="18"/>
      <c r="Y101" s="18"/>
      <c r="Z101" s="18"/>
      <c r="AA101" s="36" t="str">
        <f t="shared" si="6"/>
        <v/>
      </c>
      <c r="AB101" s="1"/>
      <c r="AC101" s="1"/>
      <c r="AD101" s="1"/>
      <c r="AE101" s="1"/>
      <c r="AF101" s="1"/>
      <c r="AG101" s="1"/>
    </row>
    <row r="102" spans="1:33" ht="22.5" customHeight="1">
      <c r="A102" s="12"/>
      <c r="B102" s="88"/>
      <c r="C102" s="72"/>
      <c r="D102" s="91"/>
      <c r="E102" s="71"/>
      <c r="F102" s="71"/>
      <c r="G102" s="71"/>
      <c r="H102" s="12"/>
      <c r="I102" s="12"/>
      <c r="J102" s="12"/>
      <c r="K102" s="12"/>
      <c r="L102" s="12"/>
      <c r="M102" s="12"/>
      <c r="N102" s="12"/>
      <c r="O102" s="12"/>
      <c r="P102" s="12"/>
      <c r="Q102" s="13"/>
      <c r="R102" s="18"/>
      <c r="S102" s="12"/>
      <c r="T102" s="15"/>
      <c r="U102" s="15"/>
      <c r="V102" s="15"/>
      <c r="W102" s="15"/>
      <c r="X102" s="18"/>
      <c r="Y102" s="18"/>
      <c r="Z102" s="18"/>
      <c r="AA102" s="36" t="str">
        <f t="shared" ref="AA102:AA111" si="11">IF(AND(EvalPower(E102:G102)=EvalPower(H102:Q102), EvalPower(P102)=EvalPower(U102:W102)), "", IF(AND(EvalPower(E102:G102)&lt;&gt;EvalPower(H102:Q102), EvalPower(P102)&lt;&gt;EvalPower(U102:W102)), "NG Total and Power total both mistake", IF(EvalPower(E102:G102)&lt;&gt;EvalPower(H102:Q102), "TOTAL ERROR", "POWER CUT ERROR!")))</f>
        <v/>
      </c>
      <c r="AB102" s="1"/>
      <c r="AC102" s="1"/>
      <c r="AD102" s="1"/>
      <c r="AE102" s="1"/>
      <c r="AF102" s="1"/>
      <c r="AG102" s="1"/>
    </row>
    <row r="103" spans="1:33" ht="22.5" customHeight="1">
      <c r="A103" s="12"/>
      <c r="B103" s="88"/>
      <c r="C103" s="72"/>
      <c r="D103" s="91"/>
      <c r="E103" s="71"/>
      <c r="F103" s="71"/>
      <c r="G103" s="71"/>
      <c r="H103" s="12"/>
      <c r="I103" s="12"/>
      <c r="J103" s="12"/>
      <c r="K103" s="12"/>
      <c r="L103" s="12"/>
      <c r="M103" s="12"/>
      <c r="N103" s="12"/>
      <c r="O103" s="12"/>
      <c r="P103" s="12"/>
      <c r="Q103" s="13"/>
      <c r="R103" s="18"/>
      <c r="S103" s="12"/>
      <c r="T103" s="15"/>
      <c r="U103" s="15"/>
      <c r="V103" s="15"/>
      <c r="W103" s="15"/>
      <c r="X103" s="18"/>
      <c r="Y103" s="18"/>
      <c r="Z103" s="18"/>
      <c r="AA103" s="36" t="str">
        <f t="shared" si="11"/>
        <v/>
      </c>
      <c r="AB103" s="1"/>
      <c r="AC103" s="1"/>
      <c r="AD103" s="1"/>
      <c r="AE103" s="1"/>
      <c r="AF103" s="1"/>
      <c r="AG103" s="1"/>
    </row>
    <row r="104" spans="1:33" ht="22.5" customHeight="1">
      <c r="A104" s="12"/>
      <c r="B104" s="88"/>
      <c r="C104" s="72"/>
      <c r="D104" s="91"/>
      <c r="E104" s="71"/>
      <c r="F104" s="71"/>
      <c r="G104" s="71"/>
      <c r="H104" s="12"/>
      <c r="I104" s="12"/>
      <c r="J104" s="12"/>
      <c r="K104" s="12"/>
      <c r="L104" s="12"/>
      <c r="M104" s="12"/>
      <c r="N104" s="12"/>
      <c r="O104" s="12"/>
      <c r="P104" s="12"/>
      <c r="Q104" s="13"/>
      <c r="R104" s="18"/>
      <c r="S104" s="12"/>
      <c r="T104" s="15"/>
      <c r="U104" s="15"/>
      <c r="V104" s="15"/>
      <c r="W104" s="15"/>
      <c r="X104" s="18"/>
      <c r="Y104" s="18"/>
      <c r="Z104" s="18"/>
      <c r="AA104" s="36" t="str">
        <f t="shared" si="11"/>
        <v/>
      </c>
      <c r="AB104" s="1"/>
      <c r="AC104" s="1"/>
      <c r="AD104" s="1"/>
      <c r="AE104" s="1"/>
      <c r="AF104" s="1"/>
      <c r="AG104" s="1"/>
    </row>
    <row r="105" spans="1:33" ht="22.5" customHeight="1">
      <c r="A105" s="12"/>
      <c r="B105" s="88"/>
      <c r="C105" s="72"/>
      <c r="D105" s="91"/>
      <c r="E105" s="71"/>
      <c r="F105" s="71"/>
      <c r="G105" s="71"/>
      <c r="H105" s="12"/>
      <c r="I105" s="12"/>
      <c r="J105" s="12"/>
      <c r="K105" s="12"/>
      <c r="L105" s="12"/>
      <c r="M105" s="12"/>
      <c r="N105" s="12"/>
      <c r="O105" s="12"/>
      <c r="P105" s="12"/>
      <c r="Q105" s="13"/>
      <c r="R105" s="18"/>
      <c r="S105" s="12"/>
      <c r="T105" s="15"/>
      <c r="U105" s="15"/>
      <c r="V105" s="15"/>
      <c r="W105" s="15"/>
      <c r="X105" s="18"/>
      <c r="Y105" s="18"/>
      <c r="Z105" s="18"/>
      <c r="AA105" s="36" t="str">
        <f t="shared" si="11"/>
        <v/>
      </c>
      <c r="AB105" s="1"/>
      <c r="AC105" s="1"/>
      <c r="AD105" s="1"/>
      <c r="AE105" s="1"/>
      <c r="AF105" s="1"/>
      <c r="AG105" s="1"/>
    </row>
    <row r="106" spans="1:33" ht="22.5" customHeight="1">
      <c r="A106" s="12"/>
      <c r="B106" s="88"/>
      <c r="C106" s="72"/>
      <c r="D106" s="91"/>
      <c r="E106" s="71"/>
      <c r="F106" s="71"/>
      <c r="G106" s="71"/>
      <c r="H106" s="12"/>
      <c r="I106" s="12"/>
      <c r="J106" s="12"/>
      <c r="K106" s="12"/>
      <c r="L106" s="12"/>
      <c r="M106" s="12"/>
      <c r="N106" s="12"/>
      <c r="O106" s="12"/>
      <c r="P106" s="12"/>
      <c r="Q106" s="13"/>
      <c r="R106" s="18"/>
      <c r="S106" s="12"/>
      <c r="T106" s="15"/>
      <c r="U106" s="15"/>
      <c r="V106" s="15"/>
      <c r="W106" s="15"/>
      <c r="X106" s="18"/>
      <c r="Y106" s="18"/>
      <c r="Z106" s="18"/>
      <c r="AA106" s="36" t="str">
        <f t="shared" si="11"/>
        <v/>
      </c>
      <c r="AB106" s="1"/>
      <c r="AC106" s="1"/>
      <c r="AD106" s="1"/>
      <c r="AE106" s="1"/>
      <c r="AF106" s="1"/>
      <c r="AG106" s="1"/>
    </row>
    <row r="107" spans="1:33" ht="22.5" customHeight="1">
      <c r="A107" s="12"/>
      <c r="B107" s="88"/>
      <c r="C107" s="72"/>
      <c r="D107" s="91"/>
      <c r="E107" s="71"/>
      <c r="F107" s="71"/>
      <c r="G107" s="71"/>
      <c r="H107" s="12"/>
      <c r="I107" s="12"/>
      <c r="J107" s="12"/>
      <c r="K107" s="12"/>
      <c r="L107" s="12"/>
      <c r="M107" s="12"/>
      <c r="N107" s="12"/>
      <c r="O107" s="12"/>
      <c r="P107" s="12"/>
      <c r="Q107" s="13"/>
      <c r="R107" s="18"/>
      <c r="S107" s="12"/>
      <c r="T107" s="15"/>
      <c r="U107" s="15"/>
      <c r="V107" s="15"/>
      <c r="W107" s="15"/>
      <c r="X107" s="18"/>
      <c r="Y107" s="18"/>
      <c r="Z107" s="18"/>
      <c r="AA107" s="36" t="str">
        <f t="shared" si="11"/>
        <v/>
      </c>
      <c r="AB107" s="1"/>
      <c r="AC107" s="1"/>
      <c r="AD107" s="1"/>
      <c r="AE107" s="1"/>
      <c r="AF107" s="1"/>
      <c r="AG107" s="1"/>
    </row>
    <row r="108" spans="1:33" ht="22.5" customHeight="1">
      <c r="A108" s="12"/>
      <c r="B108" s="88"/>
      <c r="C108" s="72"/>
      <c r="D108" s="91"/>
      <c r="E108" s="71"/>
      <c r="F108" s="71"/>
      <c r="G108" s="71"/>
      <c r="H108" s="12"/>
      <c r="I108" s="12"/>
      <c r="J108" s="12"/>
      <c r="K108" s="12"/>
      <c r="L108" s="12"/>
      <c r="M108" s="12"/>
      <c r="N108" s="12"/>
      <c r="O108" s="12"/>
      <c r="P108" s="12"/>
      <c r="Q108" s="13"/>
      <c r="R108" s="18"/>
      <c r="S108" s="12"/>
      <c r="T108" s="15"/>
      <c r="U108" s="15"/>
      <c r="V108" s="15"/>
      <c r="W108" s="15"/>
      <c r="X108" s="18"/>
      <c r="Y108" s="18"/>
      <c r="Z108" s="18"/>
      <c r="AA108" s="36" t="str">
        <f t="shared" si="11"/>
        <v/>
      </c>
      <c r="AB108" s="1"/>
      <c r="AC108" s="1"/>
      <c r="AD108" s="1"/>
      <c r="AE108" s="1"/>
      <c r="AF108" s="1"/>
      <c r="AG108" s="1"/>
    </row>
    <row r="109" spans="1:33" ht="22.5" customHeight="1">
      <c r="A109" s="12"/>
      <c r="B109" s="88"/>
      <c r="C109" s="72"/>
      <c r="D109" s="91"/>
      <c r="E109" s="71"/>
      <c r="F109" s="71"/>
      <c r="G109" s="71"/>
      <c r="H109" s="12"/>
      <c r="I109" s="12"/>
      <c r="J109" s="12"/>
      <c r="K109" s="12"/>
      <c r="L109" s="12"/>
      <c r="M109" s="12"/>
      <c r="N109" s="12"/>
      <c r="O109" s="12"/>
      <c r="P109" s="12"/>
      <c r="Q109" s="13"/>
      <c r="R109" s="18"/>
      <c r="S109" s="12"/>
      <c r="T109" s="15"/>
      <c r="U109" s="15"/>
      <c r="V109" s="15"/>
      <c r="W109" s="15"/>
      <c r="X109" s="18"/>
      <c r="Y109" s="18"/>
      <c r="Z109" s="18"/>
      <c r="AA109" s="36" t="str">
        <f t="shared" si="11"/>
        <v/>
      </c>
      <c r="AB109" s="1"/>
      <c r="AC109" s="1"/>
      <c r="AD109" s="1"/>
      <c r="AE109" s="1"/>
      <c r="AF109" s="1"/>
      <c r="AG109" s="1"/>
    </row>
    <row r="110" spans="1:33" ht="22.5" customHeight="1">
      <c r="A110" s="12"/>
      <c r="B110" s="88"/>
      <c r="C110" s="72"/>
      <c r="D110" s="91"/>
      <c r="E110" s="71"/>
      <c r="F110" s="71"/>
      <c r="G110" s="71"/>
      <c r="H110" s="12"/>
      <c r="I110" s="12"/>
      <c r="J110" s="12"/>
      <c r="K110" s="12"/>
      <c r="L110" s="12"/>
      <c r="M110" s="12"/>
      <c r="N110" s="12"/>
      <c r="O110" s="12"/>
      <c r="P110" s="12"/>
      <c r="Q110" s="13"/>
      <c r="R110" s="18"/>
      <c r="S110" s="12"/>
      <c r="T110" s="15"/>
      <c r="U110" s="15"/>
      <c r="V110" s="15"/>
      <c r="W110" s="15"/>
      <c r="X110" s="18"/>
      <c r="Y110" s="18"/>
      <c r="Z110" s="18"/>
      <c r="AA110" s="36" t="str">
        <f t="shared" si="11"/>
        <v/>
      </c>
      <c r="AB110" s="1"/>
      <c r="AC110" s="1"/>
      <c r="AD110" s="1"/>
      <c r="AE110" s="1"/>
      <c r="AF110" s="1"/>
      <c r="AG110" s="1"/>
    </row>
    <row r="111" spans="1:33" ht="22.5" customHeight="1">
      <c r="A111" s="12"/>
      <c r="B111" s="88"/>
      <c r="C111" s="72"/>
      <c r="D111" s="91"/>
      <c r="E111" s="27"/>
      <c r="F111" s="27"/>
      <c r="G111" s="27"/>
      <c r="I111" s="13"/>
      <c r="J111" s="12"/>
      <c r="K111" s="13"/>
      <c r="L111" s="13"/>
      <c r="M111" s="13"/>
      <c r="N111" s="13"/>
      <c r="O111" s="13"/>
      <c r="P111" s="12"/>
      <c r="Q111" s="13"/>
      <c r="R111" s="18"/>
      <c r="S111" s="12"/>
      <c r="T111" s="15"/>
      <c r="U111" s="15"/>
      <c r="V111" s="15"/>
      <c r="W111" s="15"/>
      <c r="X111" s="18"/>
      <c r="Y111" s="18"/>
      <c r="Z111" s="18"/>
      <c r="AA111" s="36" t="str">
        <f t="shared" si="11"/>
        <v/>
      </c>
      <c r="AB111" s="1"/>
      <c r="AC111" s="1"/>
      <c r="AD111" s="1"/>
      <c r="AE111" s="1"/>
      <c r="AF111" s="1"/>
      <c r="AG111" s="1"/>
    </row>
    <row r="112" spans="1:33" ht="22.5" customHeight="1">
      <c r="A112" s="12"/>
      <c r="B112" s="73"/>
      <c r="C112" s="72"/>
      <c r="D112" s="91"/>
      <c r="E112" s="27"/>
      <c r="F112" s="27"/>
      <c r="G112" s="27"/>
      <c r="H112" s="101"/>
      <c r="I112" s="13"/>
      <c r="J112" s="12"/>
      <c r="K112" s="13"/>
      <c r="L112" s="13"/>
      <c r="M112" s="13"/>
      <c r="N112" s="13"/>
      <c r="O112" s="13"/>
      <c r="P112" s="12"/>
      <c r="Q112" s="13"/>
      <c r="R112" s="18"/>
      <c r="S112" s="12"/>
      <c r="T112" s="15"/>
      <c r="U112" s="15"/>
      <c r="V112" s="15"/>
      <c r="W112" s="15"/>
      <c r="X112" s="18"/>
      <c r="Y112" s="18"/>
      <c r="Z112" s="18"/>
      <c r="AA112" s="36" t="str">
        <f t="shared" si="0"/>
        <v/>
      </c>
      <c r="AB112" s="1"/>
      <c r="AC112" s="1"/>
      <c r="AD112" s="1"/>
      <c r="AE112" s="1"/>
      <c r="AF112" s="1"/>
      <c r="AG112" s="1"/>
    </row>
    <row r="113" spans="1:33" ht="22.5" customHeight="1">
      <c r="A113" s="12"/>
      <c r="B113" s="73"/>
      <c r="C113" s="72"/>
      <c r="D113" s="91"/>
      <c r="E113" s="27"/>
      <c r="F113" s="27"/>
      <c r="G113" s="27"/>
      <c r="H113" s="101"/>
      <c r="I113" s="13"/>
      <c r="J113" s="12"/>
      <c r="K113" s="13"/>
      <c r="L113" s="13"/>
      <c r="M113" s="13"/>
      <c r="N113" s="13"/>
      <c r="O113" s="13"/>
      <c r="P113" s="12"/>
      <c r="Q113" s="13"/>
      <c r="R113" s="18"/>
      <c r="S113" s="12"/>
      <c r="T113" s="15"/>
      <c r="U113" s="15"/>
      <c r="V113" s="15"/>
      <c r="W113" s="15"/>
      <c r="X113" s="18"/>
      <c r="Y113" s="18"/>
      <c r="Z113" s="18"/>
      <c r="AA113" s="36" t="str">
        <f t="shared" ref="AA113:AA121" si="12">IF(AND(EvalPower(E113:G113)=EvalPower(H113:Q113), EvalPower(P113)=EvalPower(U113:W113)), "", IF(AND(EvalPower(E113:G113)&lt;&gt;EvalPower(H113:Q113), EvalPower(P113)&lt;&gt;EvalPower(U113:W113)), "NG Total and Power total both mistake", IF(EvalPower(E113:G113)&lt;&gt;EvalPower(H113:Q113), "TOTAL ERROR", "POWER CUT ERROR!")))</f>
        <v/>
      </c>
      <c r="AB113" s="1"/>
      <c r="AC113" s="1"/>
      <c r="AD113" s="1"/>
      <c r="AE113" s="1"/>
      <c r="AF113" s="1"/>
      <c r="AG113" s="1"/>
    </row>
    <row r="114" spans="1:33" ht="22.5" customHeight="1">
      <c r="A114" s="12"/>
      <c r="B114" s="73"/>
      <c r="C114" s="72"/>
      <c r="D114" s="92"/>
      <c r="E114" s="27"/>
      <c r="F114" s="27"/>
      <c r="G114" s="27"/>
      <c r="H114" s="101"/>
      <c r="I114" s="13"/>
      <c r="J114" s="12"/>
      <c r="K114" s="13"/>
      <c r="L114" s="13"/>
      <c r="M114" s="13"/>
      <c r="N114" s="13"/>
      <c r="O114" s="13"/>
      <c r="P114" s="12"/>
      <c r="Q114" s="13"/>
      <c r="R114" s="18"/>
      <c r="S114" s="12"/>
      <c r="T114" s="15"/>
      <c r="U114" s="15"/>
      <c r="V114" s="15"/>
      <c r="W114" s="15"/>
      <c r="X114" s="18"/>
      <c r="Y114" s="18"/>
      <c r="Z114" s="18"/>
      <c r="AA114" s="36" t="str">
        <f t="shared" si="12"/>
        <v/>
      </c>
      <c r="AB114" s="1"/>
      <c r="AC114" s="1"/>
      <c r="AD114" s="1"/>
      <c r="AE114" s="1"/>
      <c r="AF114" s="1"/>
      <c r="AG114" s="1"/>
    </row>
    <row r="115" spans="1:33" ht="22.5" customHeight="1">
      <c r="A115" s="12"/>
      <c r="B115" s="73"/>
      <c r="C115" s="72"/>
      <c r="D115" s="92"/>
      <c r="E115" s="27"/>
      <c r="F115" s="27"/>
      <c r="G115" s="27"/>
      <c r="H115" s="101"/>
      <c r="I115" s="13"/>
      <c r="J115" s="12"/>
      <c r="K115" s="13"/>
      <c r="L115" s="13"/>
      <c r="M115" s="13"/>
      <c r="N115" s="13"/>
      <c r="O115" s="13"/>
      <c r="P115" s="12"/>
      <c r="Q115" s="13"/>
      <c r="R115" s="18"/>
      <c r="S115" s="12"/>
      <c r="T115" s="15"/>
      <c r="U115" s="15"/>
      <c r="V115" s="15"/>
      <c r="W115" s="15"/>
      <c r="X115" s="18"/>
      <c r="Y115" s="18"/>
      <c r="Z115" s="18"/>
      <c r="AA115" s="36" t="str">
        <f t="shared" si="12"/>
        <v/>
      </c>
      <c r="AB115" s="1"/>
      <c r="AC115" s="1"/>
      <c r="AD115" s="1"/>
      <c r="AE115" s="1"/>
      <c r="AF115" s="1"/>
      <c r="AG115" s="1"/>
    </row>
    <row r="116" spans="1:33" ht="22.5" customHeight="1">
      <c r="A116" s="12"/>
      <c r="B116" s="73"/>
      <c r="C116" s="72"/>
      <c r="D116" s="92"/>
      <c r="E116" s="27"/>
      <c r="F116" s="27"/>
      <c r="G116" s="27"/>
      <c r="H116" s="101"/>
      <c r="I116" s="13"/>
      <c r="J116" s="12"/>
      <c r="K116" s="13"/>
      <c r="L116" s="13"/>
      <c r="M116" s="13"/>
      <c r="N116" s="13"/>
      <c r="O116" s="13"/>
      <c r="P116" s="12"/>
      <c r="Q116" s="13"/>
      <c r="R116" s="18"/>
      <c r="S116" s="12"/>
      <c r="T116" s="15"/>
      <c r="U116" s="15"/>
      <c r="V116" s="15"/>
      <c r="W116" s="15"/>
      <c r="X116" s="18"/>
      <c r="Y116" s="18"/>
      <c r="Z116" s="18"/>
      <c r="AA116" s="36" t="str">
        <f t="shared" si="12"/>
        <v/>
      </c>
      <c r="AB116" s="1"/>
      <c r="AC116" s="1"/>
      <c r="AD116" s="1"/>
      <c r="AE116" s="1"/>
      <c r="AF116" s="1"/>
      <c r="AG116" s="1"/>
    </row>
    <row r="117" spans="1:33" ht="22.5" customHeight="1">
      <c r="A117" s="12"/>
      <c r="B117" s="73"/>
      <c r="C117" s="72"/>
      <c r="D117" s="92"/>
      <c r="E117" s="27"/>
      <c r="F117" s="27"/>
      <c r="G117" s="27"/>
      <c r="H117" s="101"/>
      <c r="I117" s="13"/>
      <c r="J117" s="12"/>
      <c r="K117" s="13"/>
      <c r="L117" s="13"/>
      <c r="M117" s="13"/>
      <c r="N117" s="13"/>
      <c r="O117" s="13"/>
      <c r="P117" s="12"/>
      <c r="Q117" s="13"/>
      <c r="R117" s="18"/>
      <c r="S117" s="12"/>
      <c r="T117" s="15"/>
      <c r="U117" s="15"/>
      <c r="V117" s="15"/>
      <c r="W117" s="15"/>
      <c r="X117" s="18"/>
      <c r="Y117" s="18"/>
      <c r="Z117" s="18"/>
      <c r="AA117" s="36" t="str">
        <f t="shared" si="12"/>
        <v/>
      </c>
      <c r="AB117" s="1"/>
      <c r="AC117" s="1"/>
      <c r="AD117" s="1"/>
      <c r="AE117" s="1"/>
      <c r="AF117" s="1"/>
      <c r="AG117" s="1"/>
    </row>
    <row r="118" spans="1:33" ht="22.5" customHeight="1">
      <c r="A118" s="12"/>
      <c r="B118" s="73"/>
      <c r="C118" s="72"/>
      <c r="D118" s="92"/>
      <c r="E118" s="27"/>
      <c r="F118" s="27"/>
      <c r="G118" s="27"/>
      <c r="H118" s="101"/>
      <c r="I118" s="13"/>
      <c r="J118" s="12"/>
      <c r="K118" s="13"/>
      <c r="L118" s="13"/>
      <c r="M118" s="13"/>
      <c r="N118" s="13"/>
      <c r="O118" s="13"/>
      <c r="P118" s="12"/>
      <c r="Q118" s="13"/>
      <c r="R118" s="18"/>
      <c r="S118" s="12"/>
      <c r="T118" s="15"/>
      <c r="U118" s="15"/>
      <c r="V118" s="15"/>
      <c r="W118" s="15"/>
      <c r="X118" s="18"/>
      <c r="Y118" s="18"/>
      <c r="Z118" s="18"/>
      <c r="AA118" s="36" t="str">
        <f t="shared" si="12"/>
        <v/>
      </c>
      <c r="AB118" s="1"/>
      <c r="AC118" s="1"/>
      <c r="AD118" s="1"/>
      <c r="AE118" s="1"/>
      <c r="AF118" s="1"/>
      <c r="AG118" s="1"/>
    </row>
    <row r="119" spans="1:33" ht="22.5" customHeight="1">
      <c r="A119" s="12"/>
      <c r="B119" s="73"/>
      <c r="C119" s="72"/>
      <c r="D119" s="92"/>
      <c r="E119" s="27"/>
      <c r="F119" s="27"/>
      <c r="G119" s="27"/>
      <c r="H119" s="102"/>
      <c r="I119" s="13"/>
      <c r="J119" s="12"/>
      <c r="K119" s="13"/>
      <c r="L119" s="13"/>
      <c r="M119" s="13"/>
      <c r="N119" s="13"/>
      <c r="O119" s="13"/>
      <c r="P119" s="12"/>
      <c r="Q119" s="13"/>
      <c r="R119" s="18"/>
      <c r="S119" s="12"/>
      <c r="T119" s="15"/>
      <c r="U119" s="15"/>
      <c r="V119" s="15"/>
      <c r="W119" s="15"/>
      <c r="X119" s="18"/>
      <c r="Y119" s="18"/>
      <c r="Z119" s="18"/>
      <c r="AA119" s="36" t="str">
        <f t="shared" si="12"/>
        <v/>
      </c>
      <c r="AB119" s="1"/>
      <c r="AC119" s="1"/>
      <c r="AD119" s="1"/>
      <c r="AE119" s="1"/>
      <c r="AF119" s="1"/>
      <c r="AG119" s="1"/>
    </row>
    <row r="120" spans="1:33" ht="22.5" customHeight="1">
      <c r="A120" s="12"/>
      <c r="B120" s="73"/>
      <c r="C120" s="72"/>
      <c r="D120" s="92"/>
      <c r="E120" s="27"/>
      <c r="F120" s="27"/>
      <c r="G120" s="27"/>
      <c r="H120" s="102"/>
      <c r="I120" s="13"/>
      <c r="J120" s="12"/>
      <c r="K120" s="13"/>
      <c r="L120" s="13"/>
      <c r="M120" s="13"/>
      <c r="N120" s="13"/>
      <c r="O120" s="13"/>
      <c r="P120" s="12"/>
      <c r="Q120" s="13"/>
      <c r="R120" s="18"/>
      <c r="S120" s="12"/>
      <c r="T120" s="15"/>
      <c r="U120" s="15"/>
      <c r="V120" s="15"/>
      <c r="W120" s="15"/>
      <c r="X120" s="18"/>
      <c r="Y120" s="18"/>
      <c r="Z120" s="18"/>
      <c r="AA120" s="36" t="str">
        <f t="shared" si="12"/>
        <v/>
      </c>
      <c r="AB120" s="1"/>
      <c r="AC120" s="1"/>
      <c r="AD120" s="1"/>
      <c r="AE120" s="1"/>
      <c r="AF120" s="1"/>
      <c r="AG120" s="1"/>
    </row>
    <row r="121" spans="1:33" ht="22.5" customHeight="1">
      <c r="A121" s="12"/>
      <c r="B121" s="73"/>
      <c r="C121" s="72"/>
      <c r="D121" s="93"/>
      <c r="E121" s="27"/>
      <c r="F121" s="27"/>
      <c r="G121" s="27"/>
      <c r="I121" s="13"/>
      <c r="J121" s="12"/>
      <c r="K121" s="13"/>
      <c r="L121" s="13"/>
      <c r="M121" s="13"/>
      <c r="N121" s="13"/>
      <c r="O121" s="13"/>
      <c r="P121" s="12"/>
      <c r="Q121" s="13"/>
      <c r="R121" s="18"/>
      <c r="S121" s="12"/>
      <c r="T121" s="15"/>
      <c r="U121" s="15"/>
      <c r="V121" s="15"/>
      <c r="W121" s="15"/>
      <c r="X121" s="18"/>
      <c r="Y121" s="18"/>
      <c r="Z121" s="18"/>
      <c r="AA121" s="36" t="str">
        <f t="shared" si="12"/>
        <v/>
      </c>
      <c r="AB121" s="1"/>
      <c r="AC121" s="1"/>
      <c r="AD121" s="1"/>
      <c r="AE121" s="1"/>
      <c r="AF121" s="1"/>
      <c r="AG121" s="1"/>
    </row>
    <row r="122" spans="1:33" ht="22.5" customHeight="1">
      <c r="A122" s="12"/>
      <c r="B122" s="59"/>
      <c r="C122" s="86"/>
      <c r="D122" s="93"/>
      <c r="E122" s="27"/>
      <c r="F122" s="27"/>
      <c r="G122" s="27"/>
      <c r="H122" s="101"/>
      <c r="I122" s="13"/>
      <c r="J122" s="12"/>
      <c r="K122" s="13"/>
      <c r="L122" s="13"/>
      <c r="M122" s="13"/>
      <c r="N122" s="13"/>
      <c r="O122" s="13"/>
      <c r="P122" s="12"/>
      <c r="Q122" s="13"/>
      <c r="R122" s="18"/>
      <c r="S122" s="12"/>
      <c r="T122" s="15"/>
      <c r="U122" s="15"/>
      <c r="V122" s="15"/>
      <c r="W122" s="15"/>
      <c r="X122" s="18"/>
      <c r="Y122" s="18"/>
      <c r="Z122" s="18"/>
      <c r="AA122" s="36" t="str">
        <f t="shared" ref="AA122:AA156" si="13">IF(AND(EvalPower(E122:G122)=EvalPower(H122:Q122), EvalPower(P122)=EvalPower(U122:W122)), "", IF(AND(EvalPower(E122:G122)&lt;&gt;EvalPower(H122:Q122), EvalPower(P122)&lt;&gt;EvalPower(U122:W122)), "NG Total and Power total both mistake", IF(EvalPower(E122:G122)&lt;&gt;EvalPower(H122:Q122), "TOTAL ERROR", "POWER CUT ERROR!")))</f>
        <v/>
      </c>
      <c r="AB122" s="1"/>
      <c r="AC122" s="1"/>
      <c r="AD122" s="1"/>
      <c r="AE122" s="1"/>
      <c r="AF122" s="1"/>
      <c r="AG122" s="1"/>
    </row>
    <row r="123" spans="1:33" ht="22.5" customHeight="1">
      <c r="A123" s="12"/>
      <c r="B123" s="59"/>
      <c r="C123" s="87"/>
      <c r="D123" s="93"/>
      <c r="E123" s="27"/>
      <c r="F123" s="27"/>
      <c r="G123" s="27"/>
      <c r="H123" s="101"/>
      <c r="I123" s="13"/>
      <c r="J123" s="12"/>
      <c r="K123" s="13"/>
      <c r="L123" s="13"/>
      <c r="M123" s="13"/>
      <c r="N123" s="13"/>
      <c r="O123" s="13"/>
      <c r="P123" s="12"/>
      <c r="Q123" s="13"/>
      <c r="R123" s="18"/>
      <c r="S123" s="12"/>
      <c r="T123" s="15"/>
      <c r="U123" s="15"/>
      <c r="V123" s="15"/>
      <c r="W123" s="15"/>
      <c r="X123" s="18"/>
      <c r="Y123" s="18"/>
      <c r="Z123" s="18"/>
      <c r="AA123" s="36" t="str">
        <f t="shared" ref="AA123:AA128" si="14">IF(AND(EvalPower(E123:G123)=EvalPower(H123:Q123), EvalPower(P123)=EvalPower(U123:W123)), "", IF(AND(EvalPower(E123:G123)&lt;&gt;EvalPower(H123:Q123), EvalPower(P123)&lt;&gt;EvalPower(U123:W123)), "NG Total and Power total both mistake", IF(EvalPower(E123:G123)&lt;&gt;EvalPower(H123:Q123), "TOTAL ERROR", "POWER CUT ERROR!")))</f>
        <v/>
      </c>
      <c r="AB123" s="1"/>
      <c r="AC123" s="1"/>
      <c r="AD123" s="1"/>
      <c r="AE123" s="1"/>
      <c r="AF123" s="1"/>
      <c r="AG123" s="1"/>
    </row>
    <row r="124" spans="1:33" ht="22.5" customHeight="1">
      <c r="A124" s="12"/>
      <c r="B124" s="59"/>
      <c r="C124" s="87"/>
      <c r="D124" s="93"/>
      <c r="E124" s="27"/>
      <c r="F124" s="27"/>
      <c r="G124" s="27"/>
      <c r="H124" s="101"/>
      <c r="I124" s="13"/>
      <c r="J124" s="12"/>
      <c r="K124" s="13"/>
      <c r="L124" s="13"/>
      <c r="M124" s="13"/>
      <c r="N124" s="13"/>
      <c r="O124" s="13"/>
      <c r="P124" s="12"/>
      <c r="Q124" s="13"/>
      <c r="R124" s="18"/>
      <c r="S124" s="12"/>
      <c r="T124" s="15"/>
      <c r="U124" s="15"/>
      <c r="V124" s="15"/>
      <c r="W124" s="15"/>
      <c r="X124" s="18"/>
      <c r="Y124" s="18"/>
      <c r="Z124" s="18"/>
      <c r="AA124" s="36" t="str">
        <f>IF(AND(EvalPower(E124:G124)=EvalPower(H124:Q124), EvalPower(P124)=EvalPower(U124:W124)), "", IF(AND(EvalPower(E124:G124)&lt;&gt;EvalPower(H124:Q124), EvalPower(P124)&lt;&gt;EvalPower(U124:W124)), "NG Total and Power total both mistake", IF(EvalPower(E124:G124)&lt;&gt;EvalPower(H124:Q124), "TOTAL ERROR", "POWER CUT ERROR!")))</f>
        <v/>
      </c>
      <c r="AB124" s="1"/>
      <c r="AC124" s="1"/>
      <c r="AD124" s="1"/>
      <c r="AE124" s="1"/>
      <c r="AF124" s="1"/>
      <c r="AG124" s="1"/>
    </row>
    <row r="125" spans="1:33" ht="22.5" customHeight="1">
      <c r="A125" s="12"/>
      <c r="B125" s="59"/>
      <c r="C125" s="86"/>
      <c r="D125" s="93"/>
      <c r="E125" s="27"/>
      <c r="F125" s="27"/>
      <c r="G125" s="27"/>
      <c r="H125" s="101"/>
      <c r="I125" s="13"/>
      <c r="J125" s="12"/>
      <c r="K125" s="13"/>
      <c r="L125" s="13"/>
      <c r="M125" s="13"/>
      <c r="N125" s="13"/>
      <c r="O125" s="13"/>
      <c r="P125" s="12"/>
      <c r="Q125" s="13"/>
      <c r="R125" s="18"/>
      <c r="S125" s="12"/>
      <c r="T125" s="15"/>
      <c r="U125" s="15"/>
      <c r="V125" s="15"/>
      <c r="W125" s="15"/>
      <c r="X125" s="18"/>
      <c r="Y125" s="18"/>
      <c r="Z125" s="18"/>
      <c r="AA125" s="36" t="str">
        <f t="shared" si="14"/>
        <v/>
      </c>
      <c r="AB125" s="1"/>
      <c r="AC125" s="1"/>
      <c r="AD125" s="1"/>
      <c r="AE125" s="1"/>
      <c r="AF125" s="1"/>
      <c r="AG125" s="1"/>
    </row>
    <row r="126" spans="1:33" ht="22.5" customHeight="1">
      <c r="A126" s="12"/>
      <c r="B126" s="59"/>
      <c r="C126" s="87"/>
      <c r="D126" s="93"/>
      <c r="E126" s="27"/>
      <c r="F126" s="27"/>
      <c r="G126" s="27"/>
      <c r="H126" s="101"/>
      <c r="I126" s="13"/>
      <c r="J126" s="12"/>
      <c r="K126" s="13"/>
      <c r="L126" s="13"/>
      <c r="M126" s="13"/>
      <c r="N126" s="13"/>
      <c r="O126" s="13"/>
      <c r="P126" s="12"/>
      <c r="Q126" s="13"/>
      <c r="R126" s="18"/>
      <c r="S126" s="12"/>
      <c r="T126" s="15"/>
      <c r="U126" s="15"/>
      <c r="V126" s="15"/>
      <c r="W126" s="15"/>
      <c r="X126" s="18"/>
      <c r="Y126" s="18"/>
      <c r="Z126" s="18"/>
      <c r="AA126" s="36" t="str">
        <f t="shared" si="14"/>
        <v/>
      </c>
      <c r="AB126" s="1"/>
      <c r="AC126" s="1"/>
      <c r="AD126" s="1"/>
      <c r="AE126" s="1"/>
      <c r="AF126" s="1"/>
      <c r="AG126" s="1"/>
    </row>
    <row r="127" spans="1:33" ht="22.5" customHeight="1">
      <c r="A127" s="12"/>
      <c r="B127" s="59"/>
      <c r="C127" s="86"/>
      <c r="D127" s="93"/>
      <c r="E127" s="27"/>
      <c r="F127" s="27"/>
      <c r="G127" s="27"/>
      <c r="H127" s="101"/>
      <c r="I127" s="13"/>
      <c r="J127" s="12"/>
      <c r="K127" s="13"/>
      <c r="L127" s="13"/>
      <c r="M127" s="13"/>
      <c r="N127" s="13"/>
      <c r="O127" s="13"/>
      <c r="P127" s="12"/>
      <c r="Q127" s="13"/>
      <c r="R127" s="18"/>
      <c r="S127" s="12"/>
      <c r="T127" s="15"/>
      <c r="U127" s="15"/>
      <c r="V127" s="15"/>
      <c r="W127" s="15"/>
      <c r="X127" s="18"/>
      <c r="Y127" s="18"/>
      <c r="Z127" s="18"/>
      <c r="AA127" s="36" t="str">
        <f t="shared" si="14"/>
        <v/>
      </c>
      <c r="AB127" s="1"/>
      <c r="AC127" s="1"/>
      <c r="AD127" s="1"/>
      <c r="AE127" s="1"/>
      <c r="AF127" s="1"/>
      <c r="AG127" s="1"/>
    </row>
    <row r="128" spans="1:33" ht="22.5" customHeight="1">
      <c r="A128" s="12"/>
      <c r="B128" s="59"/>
      <c r="C128" s="85"/>
      <c r="D128" s="93"/>
      <c r="E128" s="27"/>
      <c r="F128" s="27"/>
      <c r="G128" s="27"/>
      <c r="H128" s="101"/>
      <c r="I128" s="13"/>
      <c r="J128" s="12"/>
      <c r="K128" s="13"/>
      <c r="L128" s="13"/>
      <c r="M128" s="13"/>
      <c r="N128" s="13"/>
      <c r="O128" s="13"/>
      <c r="P128" s="12"/>
      <c r="Q128" s="13"/>
      <c r="R128" s="18"/>
      <c r="S128" s="12"/>
      <c r="T128" s="15"/>
      <c r="U128" s="15"/>
      <c r="V128" s="15"/>
      <c r="W128" s="15"/>
      <c r="X128" s="18"/>
      <c r="Y128" s="18"/>
      <c r="Z128" s="18"/>
      <c r="AA128" s="36" t="str">
        <f t="shared" si="14"/>
        <v/>
      </c>
      <c r="AB128" s="1"/>
      <c r="AC128" s="1"/>
      <c r="AD128" s="1"/>
      <c r="AE128" s="1"/>
      <c r="AF128" s="1"/>
      <c r="AG128" s="1"/>
    </row>
    <row r="129" spans="1:33" ht="22.5" customHeight="1">
      <c r="A129" s="12"/>
      <c r="B129" s="59"/>
      <c r="C129" s="87"/>
      <c r="D129" s="93"/>
      <c r="E129" s="27"/>
      <c r="F129" s="27"/>
      <c r="G129" s="27"/>
      <c r="H129" s="101"/>
      <c r="I129" s="13"/>
      <c r="J129" s="12"/>
      <c r="K129" s="13"/>
      <c r="L129" s="13"/>
      <c r="M129" s="13"/>
      <c r="N129" s="13"/>
      <c r="O129" s="13"/>
      <c r="P129" s="12"/>
      <c r="Q129" s="13"/>
      <c r="R129" s="18"/>
      <c r="S129" s="12"/>
      <c r="T129" s="15"/>
      <c r="U129" s="15"/>
      <c r="V129" s="15"/>
      <c r="W129" s="15"/>
      <c r="X129" s="18"/>
      <c r="Y129" s="18"/>
      <c r="Z129" s="18"/>
      <c r="AA129" s="36" t="str">
        <f t="shared" ref="AA129:AA136" si="15">IF(AND(EvalPower(E129:G129)=EvalPower(H129:Q129), EvalPower(P129)=EvalPower(U129:W129)), "", IF(AND(EvalPower(E129:G129)&lt;&gt;EvalPower(H129:Q129), EvalPower(P129)&lt;&gt;EvalPower(U129:W129)), "NG Total and Power total both mistake", IF(EvalPower(E129:G129)&lt;&gt;EvalPower(H129:Q129), "TOTAL ERROR", "POWER CUT ERROR!")))</f>
        <v/>
      </c>
      <c r="AB129" s="1"/>
      <c r="AC129" s="1"/>
      <c r="AD129" s="1"/>
      <c r="AE129" s="1"/>
      <c r="AF129" s="1"/>
      <c r="AG129" s="1"/>
    </row>
    <row r="130" spans="1:33" ht="22.5" customHeight="1">
      <c r="A130" s="12"/>
      <c r="B130" s="59"/>
      <c r="C130" s="87"/>
      <c r="D130" s="93"/>
      <c r="E130" s="27"/>
      <c r="F130" s="27"/>
      <c r="G130" s="27"/>
      <c r="H130" s="101"/>
      <c r="I130" s="13"/>
      <c r="J130" s="12"/>
      <c r="K130" s="13"/>
      <c r="L130" s="13"/>
      <c r="M130" s="13"/>
      <c r="N130" s="13"/>
      <c r="O130" s="13"/>
      <c r="P130" s="12"/>
      <c r="Q130" s="13"/>
      <c r="R130" s="18"/>
      <c r="S130" s="12"/>
      <c r="T130" s="15"/>
      <c r="U130" s="15"/>
      <c r="V130" s="15"/>
      <c r="W130" s="15"/>
      <c r="X130" s="18"/>
      <c r="Y130" s="18"/>
      <c r="Z130" s="18"/>
      <c r="AA130" s="36" t="str">
        <f t="shared" si="15"/>
        <v/>
      </c>
      <c r="AB130" s="1"/>
      <c r="AC130" s="1"/>
      <c r="AD130" s="1"/>
      <c r="AE130" s="1"/>
      <c r="AF130" s="1"/>
      <c r="AG130" s="1"/>
    </row>
    <row r="131" spans="1:33" ht="22.5" customHeight="1">
      <c r="A131" s="12"/>
      <c r="B131" s="59"/>
      <c r="C131" s="86"/>
      <c r="D131" s="93"/>
      <c r="E131" s="27"/>
      <c r="F131" s="27"/>
      <c r="G131" s="27"/>
      <c r="H131" s="101"/>
      <c r="I131" s="13"/>
      <c r="J131" s="12"/>
      <c r="K131" s="13"/>
      <c r="L131" s="13"/>
      <c r="M131" s="13"/>
      <c r="N131" s="13"/>
      <c r="O131" s="13"/>
      <c r="P131" s="12"/>
      <c r="Q131" s="13"/>
      <c r="R131" s="18"/>
      <c r="S131" s="12"/>
      <c r="T131" s="15"/>
      <c r="U131" s="15"/>
      <c r="V131" s="15"/>
      <c r="W131" s="15"/>
      <c r="X131" s="18"/>
      <c r="Y131" s="18"/>
      <c r="Z131" s="18"/>
      <c r="AA131" s="36" t="str">
        <f>IF(AND(EvalPower(E131:G131)=EvalPower(H131:Q131), EvalPower(P131)=EvalPower(U131:W131)), "", IF(AND(EvalPower(E131:G131)&lt;&gt;EvalPower(H131:Q131), EvalPower(P131)&lt;&gt;EvalPower(U131:W131)), "NG Total and Power total both mistake", IF(EvalPower(E131:G131)&lt;&gt;EvalPower(H131:Q131), "TOTAL ERROR", "POWER CUT ERROR!")))</f>
        <v/>
      </c>
      <c r="AB131" s="1"/>
      <c r="AC131" s="1"/>
      <c r="AD131" s="1"/>
      <c r="AE131" s="1"/>
      <c r="AF131" s="1"/>
      <c r="AG131" s="1"/>
    </row>
    <row r="132" spans="1:33" ht="22.5" customHeight="1">
      <c r="A132" s="12"/>
      <c r="B132" s="59"/>
      <c r="C132" s="86"/>
      <c r="D132" s="93"/>
      <c r="E132" s="27"/>
      <c r="F132" s="27"/>
      <c r="G132" s="27"/>
      <c r="H132" s="101"/>
      <c r="I132" s="13"/>
      <c r="J132" s="12"/>
      <c r="K132" s="13"/>
      <c r="L132" s="13"/>
      <c r="M132" s="13"/>
      <c r="N132" s="13"/>
      <c r="O132" s="13"/>
      <c r="P132" s="12"/>
      <c r="Q132" s="13"/>
      <c r="R132" s="18"/>
      <c r="S132" s="12"/>
      <c r="T132" s="15"/>
      <c r="U132" s="15"/>
      <c r="V132" s="15"/>
      <c r="W132" s="15"/>
      <c r="X132" s="18"/>
      <c r="Y132" s="18"/>
      <c r="Z132" s="18"/>
      <c r="AA132" s="36" t="str">
        <f>IF(AND(EvalPower(E132:G132)=EvalPower(H132:Q132), EvalPower(P132)=EvalPower(U132:W132)), "", IF(AND(EvalPower(E132:G132)&lt;&gt;EvalPower(H132:Q132), EvalPower(P132)&lt;&gt;EvalPower(U132:W132)), "NG Total and Power total both mistake", IF(EvalPower(E132:G132)&lt;&gt;EvalPower(H132:Q132), "TOTAL ERROR", "POWER CUT ERROR!")))</f>
        <v/>
      </c>
      <c r="AB132" s="1"/>
      <c r="AC132" s="1"/>
      <c r="AD132" s="1"/>
      <c r="AE132" s="1"/>
      <c r="AF132" s="1"/>
      <c r="AG132" s="1"/>
    </row>
    <row r="133" spans="1:33" ht="22.5" customHeight="1">
      <c r="A133" s="12"/>
      <c r="B133" s="59"/>
      <c r="C133" s="87"/>
      <c r="D133" s="93"/>
      <c r="E133" s="27"/>
      <c r="F133" s="27"/>
      <c r="G133" s="27"/>
      <c r="H133" s="101"/>
      <c r="I133" s="13"/>
      <c r="J133" s="12"/>
      <c r="K133" s="13"/>
      <c r="L133" s="13"/>
      <c r="M133" s="13"/>
      <c r="N133" s="13"/>
      <c r="O133" s="13"/>
      <c r="P133" s="12"/>
      <c r="Q133" s="13"/>
      <c r="R133" s="18"/>
      <c r="S133" s="12"/>
      <c r="T133" s="15"/>
      <c r="U133" s="15"/>
      <c r="V133" s="15"/>
      <c r="W133" s="15"/>
      <c r="X133" s="18"/>
      <c r="Y133" s="18"/>
      <c r="Z133" s="18"/>
      <c r="AA133" s="36" t="str">
        <f>IF(AND(EvalPower(E133:G133)=EvalPower(H133:Q133), EvalPower(P133)=EvalPower(U133:W133)), "", IF(AND(EvalPower(E133:G133)&lt;&gt;EvalPower(H133:Q133), EvalPower(P133)&lt;&gt;EvalPower(U133:W133)), "NG Total and Power total both mistake", IF(EvalPower(E133:G133)&lt;&gt;EvalPower(H133:Q133), "TOTAL ERROR", "POWER CUT ERROR!")))</f>
        <v/>
      </c>
      <c r="AB133" s="1"/>
      <c r="AC133" s="1"/>
      <c r="AD133" s="1"/>
      <c r="AE133" s="1"/>
      <c r="AF133" s="1"/>
      <c r="AG133" s="1"/>
    </row>
    <row r="134" spans="1:33" ht="22.5" customHeight="1">
      <c r="A134" s="12"/>
      <c r="B134" s="59"/>
      <c r="C134" s="87"/>
      <c r="D134" s="93"/>
      <c r="E134" s="27"/>
      <c r="F134" s="27"/>
      <c r="G134" s="27"/>
      <c r="H134" s="101"/>
      <c r="I134" s="13"/>
      <c r="J134" s="12"/>
      <c r="K134" s="13"/>
      <c r="L134" s="13"/>
      <c r="M134" s="13"/>
      <c r="N134" s="13"/>
      <c r="O134" s="13"/>
      <c r="P134" s="12"/>
      <c r="Q134" s="13"/>
      <c r="R134" s="18"/>
      <c r="S134" s="12"/>
      <c r="T134" s="15"/>
      <c r="U134" s="15"/>
      <c r="V134" s="15"/>
      <c r="W134" s="15"/>
      <c r="X134" s="18"/>
      <c r="Y134" s="18"/>
      <c r="Z134" s="18"/>
      <c r="AA134" s="36" t="str">
        <f>IF(AND(EvalPower(E134:G134)=EvalPower(H134:Q134), EvalPower(P134)=EvalPower(U134:W134)), "", IF(AND(EvalPower(E134:G134)&lt;&gt;EvalPower(H134:Q134), EvalPower(P134)&lt;&gt;EvalPower(U134:W134)), "NG Total and Power total both mistake", IF(EvalPower(E134:G134)&lt;&gt;EvalPower(H134:Q134), "TOTAL ERROR", "POWER CUT ERROR!")))</f>
        <v/>
      </c>
      <c r="AB134" s="1"/>
      <c r="AC134" s="1"/>
      <c r="AD134" s="1"/>
      <c r="AE134" s="1"/>
      <c r="AF134" s="1"/>
      <c r="AG134" s="1"/>
    </row>
    <row r="135" spans="1:33" ht="22.5" customHeight="1">
      <c r="A135" s="12"/>
      <c r="B135" s="59"/>
      <c r="C135" s="86"/>
      <c r="D135" s="93"/>
      <c r="E135" s="27"/>
      <c r="F135" s="27"/>
      <c r="G135" s="27"/>
      <c r="H135" s="101"/>
      <c r="I135" s="13"/>
      <c r="J135" s="12"/>
      <c r="K135" s="13"/>
      <c r="L135" s="13"/>
      <c r="M135" s="13"/>
      <c r="N135" s="13"/>
      <c r="O135" s="13"/>
      <c r="P135" s="12"/>
      <c r="Q135" s="13"/>
      <c r="R135" s="18"/>
      <c r="S135" s="12"/>
      <c r="T135" s="15"/>
      <c r="U135" s="15"/>
      <c r="V135" s="15"/>
      <c r="W135" s="15"/>
      <c r="X135" s="18"/>
      <c r="Y135" s="18"/>
      <c r="Z135" s="18"/>
      <c r="AA135" s="36" t="str">
        <f t="shared" si="15"/>
        <v/>
      </c>
      <c r="AB135" s="1"/>
      <c r="AC135" s="1"/>
      <c r="AD135" s="1"/>
      <c r="AE135" s="1"/>
      <c r="AF135" s="1"/>
      <c r="AG135" s="1"/>
    </row>
    <row r="136" spans="1:33" ht="22.5" customHeight="1">
      <c r="A136" s="12"/>
      <c r="B136" s="59"/>
      <c r="C136" s="87"/>
      <c r="D136" s="93"/>
      <c r="E136" s="27"/>
      <c r="F136" s="27"/>
      <c r="G136" s="27"/>
      <c r="H136" s="101"/>
      <c r="I136" s="13"/>
      <c r="J136" s="12"/>
      <c r="K136" s="13"/>
      <c r="L136" s="13"/>
      <c r="M136" s="13"/>
      <c r="N136" s="13"/>
      <c r="O136" s="13"/>
      <c r="P136" s="12"/>
      <c r="Q136" s="13"/>
      <c r="R136" s="18"/>
      <c r="S136" s="12"/>
      <c r="T136" s="15"/>
      <c r="U136" s="15"/>
      <c r="V136" s="15"/>
      <c r="W136" s="15"/>
      <c r="X136" s="18"/>
      <c r="Y136" s="18"/>
      <c r="Z136" s="18"/>
      <c r="AA136" s="36" t="str">
        <f t="shared" si="15"/>
        <v/>
      </c>
      <c r="AB136" s="1"/>
      <c r="AC136" s="1"/>
      <c r="AD136" s="1"/>
      <c r="AE136" s="1"/>
      <c r="AF136" s="1"/>
      <c r="AG136" s="1"/>
    </row>
    <row r="137" spans="1:33" ht="22.5" customHeight="1">
      <c r="A137" s="12"/>
      <c r="B137" s="59"/>
      <c r="C137" s="76"/>
      <c r="D137" s="93"/>
      <c r="E137" s="27"/>
      <c r="F137" s="27"/>
      <c r="G137" s="27"/>
      <c r="H137" s="101"/>
      <c r="I137" s="13"/>
      <c r="J137" s="12"/>
      <c r="K137" s="13"/>
      <c r="L137" s="13"/>
      <c r="M137" s="13"/>
      <c r="N137" s="13"/>
      <c r="O137" s="13"/>
      <c r="P137" s="12"/>
      <c r="Q137" s="13"/>
      <c r="R137" s="18"/>
      <c r="S137" s="12"/>
      <c r="T137" s="15"/>
      <c r="U137" s="15"/>
      <c r="V137" s="15"/>
      <c r="W137" s="15"/>
      <c r="X137" s="18"/>
      <c r="Y137" s="18"/>
      <c r="Z137" s="18"/>
      <c r="AA137" s="36" t="str">
        <f>IF(AND(EvalPower(E137:G137)=EvalPower(H137:Q137), EvalPower(P137)=EvalPower(U137:W137)), "", IF(AND(EvalPower(E137:G137)&lt;&gt;EvalPower(H137:Q137), EvalPower(P137)&lt;&gt;EvalPower(U137:W137)), "NG Total and Power total both mistake", IF(EvalPower(E137:G137)&lt;&gt;EvalPower(H137:Q137), "TOTAL ERROR", "POWER CUT ERROR!")))</f>
        <v/>
      </c>
      <c r="AB137" s="1"/>
      <c r="AC137" s="1"/>
      <c r="AD137" s="1"/>
      <c r="AE137" s="1"/>
      <c r="AF137" s="1"/>
      <c r="AG137" s="1"/>
    </row>
    <row r="138" spans="1:33" ht="22.5" customHeight="1">
      <c r="A138" s="12"/>
      <c r="B138" s="59"/>
      <c r="C138" s="84"/>
      <c r="D138" s="93"/>
      <c r="E138" s="27"/>
      <c r="F138" s="27"/>
      <c r="G138" s="27"/>
      <c r="H138" s="101"/>
      <c r="I138" s="13"/>
      <c r="J138" s="12"/>
      <c r="K138" s="13"/>
      <c r="L138" s="13"/>
      <c r="M138" s="13"/>
      <c r="N138" s="13"/>
      <c r="O138" s="13"/>
      <c r="P138" s="12"/>
      <c r="Q138" s="13"/>
      <c r="R138" s="18"/>
      <c r="S138" s="12"/>
      <c r="T138" s="15"/>
      <c r="U138" s="15"/>
      <c r="V138" s="15"/>
      <c r="W138" s="15"/>
      <c r="X138" s="18"/>
      <c r="Y138" s="18"/>
      <c r="Z138" s="18"/>
      <c r="AA138" s="36" t="str">
        <f t="shared" si="13"/>
        <v/>
      </c>
      <c r="AB138" s="1"/>
      <c r="AC138" s="1"/>
      <c r="AD138" s="1"/>
      <c r="AE138" s="1"/>
      <c r="AF138" s="1"/>
      <c r="AG138" s="1"/>
    </row>
    <row r="139" spans="1:33" ht="22.5" customHeight="1">
      <c r="A139" s="12"/>
      <c r="B139" s="59"/>
      <c r="C139" s="39"/>
      <c r="D139" s="93"/>
      <c r="E139" s="27"/>
      <c r="F139" s="27"/>
      <c r="G139" s="27"/>
      <c r="H139" s="101"/>
      <c r="I139" s="13"/>
      <c r="J139" s="12"/>
      <c r="K139" s="13"/>
      <c r="L139" s="13"/>
      <c r="M139" s="13"/>
      <c r="N139" s="13"/>
      <c r="O139" s="13"/>
      <c r="P139" s="12"/>
      <c r="Q139" s="13"/>
      <c r="R139" s="18"/>
      <c r="S139" s="12"/>
      <c r="T139" s="15"/>
      <c r="U139" s="15"/>
      <c r="V139" s="15"/>
      <c r="W139" s="15"/>
      <c r="X139" s="18"/>
      <c r="Y139" s="18"/>
      <c r="Z139" s="18"/>
      <c r="AA139" s="36" t="str">
        <f t="shared" si="13"/>
        <v/>
      </c>
      <c r="AB139" s="1"/>
      <c r="AC139" s="1"/>
      <c r="AD139" s="1"/>
      <c r="AE139" s="1"/>
      <c r="AF139" s="1"/>
      <c r="AG139" s="1"/>
    </row>
    <row r="140" spans="1:33" ht="22.5" customHeight="1">
      <c r="A140" s="12"/>
      <c r="B140" s="59"/>
      <c r="C140" s="84"/>
      <c r="D140" s="93"/>
      <c r="E140" s="27"/>
      <c r="F140" s="27"/>
      <c r="G140" s="27"/>
      <c r="H140" s="101"/>
      <c r="I140" s="13"/>
      <c r="J140" s="12"/>
      <c r="K140" s="13"/>
      <c r="L140" s="13"/>
      <c r="M140" s="13"/>
      <c r="N140" s="13"/>
      <c r="O140" s="13"/>
      <c r="P140" s="12"/>
      <c r="Q140" s="13"/>
      <c r="R140" s="18"/>
      <c r="S140" s="12"/>
      <c r="T140" s="15"/>
      <c r="U140" s="15"/>
      <c r="V140" s="15"/>
      <c r="W140" s="15"/>
      <c r="X140" s="18"/>
      <c r="Y140" s="18"/>
      <c r="Z140" s="18"/>
      <c r="AA140" s="36" t="str">
        <f t="shared" si="13"/>
        <v/>
      </c>
      <c r="AB140" s="1"/>
      <c r="AC140" s="1"/>
      <c r="AD140" s="1"/>
      <c r="AE140" s="1"/>
      <c r="AF140" s="1"/>
      <c r="AG140" s="1"/>
    </row>
    <row r="141" spans="1:33" ht="22.5" customHeight="1">
      <c r="A141" s="12"/>
      <c r="B141" s="59"/>
      <c r="C141" s="84"/>
      <c r="D141" s="93"/>
      <c r="E141" s="27"/>
      <c r="F141" s="27"/>
      <c r="G141" s="27"/>
      <c r="H141" s="101"/>
      <c r="I141" s="13"/>
      <c r="J141" s="12"/>
      <c r="K141" s="13"/>
      <c r="L141" s="13"/>
      <c r="M141" s="13"/>
      <c r="N141" s="13"/>
      <c r="O141" s="13"/>
      <c r="P141" s="12"/>
      <c r="Q141" s="13"/>
      <c r="R141" s="18"/>
      <c r="S141" s="12"/>
      <c r="T141" s="15"/>
      <c r="U141" s="15"/>
      <c r="V141" s="15"/>
      <c r="W141" s="15"/>
      <c r="X141" s="18"/>
      <c r="Y141" s="18"/>
      <c r="Z141" s="18"/>
      <c r="AA141" s="36" t="str">
        <f>IF(AND(EvalPower(E141:G141)=EvalPower(H141:Q141), EvalPower(P141)=EvalPower(U141:W141)), "", IF(AND(EvalPower(E141:G141)&lt;&gt;EvalPower(H141:Q141), EvalPower(P141)&lt;&gt;EvalPower(U141:W141)), "NG Total and Power total both mistake", IF(EvalPower(E141:G141)&lt;&gt;EvalPower(H141:Q141), "TOTAL ERROR", "POWER CUT ERROR!")))</f>
        <v/>
      </c>
      <c r="AB141" s="1"/>
      <c r="AC141" s="1"/>
      <c r="AD141" s="1"/>
      <c r="AE141" s="1"/>
      <c r="AF141" s="1"/>
      <c r="AG141" s="1"/>
    </row>
    <row r="142" spans="1:33" ht="22.5" customHeight="1">
      <c r="A142" s="12"/>
      <c r="B142" s="59"/>
      <c r="C142" s="83"/>
      <c r="D142" s="93"/>
      <c r="E142" s="27"/>
      <c r="F142" s="27"/>
      <c r="G142" s="27"/>
      <c r="H142" s="101"/>
      <c r="I142" s="13"/>
      <c r="J142" s="12"/>
      <c r="K142" s="13"/>
      <c r="L142" s="13"/>
      <c r="M142" s="13"/>
      <c r="N142" s="13"/>
      <c r="O142" s="13"/>
      <c r="P142" s="12"/>
      <c r="Q142" s="13"/>
      <c r="R142" s="18"/>
      <c r="S142" s="12"/>
      <c r="T142" s="15"/>
      <c r="U142" s="15"/>
      <c r="V142" s="15"/>
      <c r="W142" s="15"/>
      <c r="X142" s="18"/>
      <c r="Y142" s="18"/>
      <c r="Z142" s="18"/>
      <c r="AA142" s="36" t="str">
        <f>IF(AND(EvalPower(E142:G142)=EvalPower(H142:Q142), EvalPower(P142)=EvalPower(U142:W142)), "", IF(AND(EvalPower(E142:G142)&lt;&gt;EvalPower(H142:Q142), EvalPower(P142)&lt;&gt;EvalPower(U142:W142)), "NG Total and Power total both mistake", IF(EvalPower(E142:G142)&lt;&gt;EvalPower(H142:Q142), "TOTAL ERROR", "POWER CUT ERROR!")))</f>
        <v/>
      </c>
      <c r="AB142" s="1"/>
      <c r="AC142" s="1"/>
      <c r="AD142" s="1"/>
      <c r="AE142" s="1"/>
      <c r="AF142" s="1"/>
      <c r="AG142" s="1"/>
    </row>
    <row r="143" spans="1:33" ht="22.5" customHeight="1">
      <c r="A143" s="12"/>
      <c r="B143" s="59"/>
      <c r="C143" s="84"/>
      <c r="D143" s="93"/>
      <c r="E143" s="27"/>
      <c r="F143" s="27"/>
      <c r="G143" s="27"/>
      <c r="H143" s="101"/>
      <c r="I143" s="13"/>
      <c r="J143" s="12"/>
      <c r="K143" s="13"/>
      <c r="L143" s="13"/>
      <c r="M143" s="13"/>
      <c r="N143" s="13"/>
      <c r="O143" s="13"/>
      <c r="P143" s="12"/>
      <c r="Q143" s="13"/>
      <c r="R143" s="18"/>
      <c r="S143" s="12"/>
      <c r="T143" s="15"/>
      <c r="U143" s="15"/>
      <c r="V143" s="15"/>
      <c r="W143" s="15"/>
      <c r="X143" s="18"/>
      <c r="Y143" s="18"/>
      <c r="Z143" s="18"/>
      <c r="AA143" s="36" t="str">
        <f>IF(AND(EvalPower(E143:G143)=EvalPower(H143:Q143), EvalPower(P143)=EvalPower(U143:W143)), "", IF(AND(EvalPower(E143:G143)&lt;&gt;EvalPower(H143:Q143), EvalPower(P143)&lt;&gt;EvalPower(U143:W143)), "NG Total and Power total both mistake", IF(EvalPower(E143:G143)&lt;&gt;EvalPower(H143:Q143), "TOTAL ERROR", "POWER CUT ERROR!")))</f>
        <v/>
      </c>
      <c r="AB143" s="1"/>
      <c r="AC143" s="1"/>
      <c r="AD143" s="1"/>
      <c r="AE143" s="1"/>
      <c r="AF143" s="1"/>
      <c r="AG143" s="1"/>
    </row>
    <row r="144" spans="1:33" ht="22.5" customHeight="1">
      <c r="A144" s="12"/>
      <c r="B144" s="59"/>
      <c r="C144" s="82"/>
      <c r="D144" s="93"/>
      <c r="E144" s="27"/>
      <c r="F144" s="27"/>
      <c r="G144" s="27"/>
      <c r="H144" s="101"/>
      <c r="I144" s="13"/>
      <c r="J144" s="12"/>
      <c r="K144" s="13"/>
      <c r="L144" s="13"/>
      <c r="M144" s="13"/>
      <c r="N144" s="13"/>
      <c r="O144" s="13"/>
      <c r="P144" s="12"/>
      <c r="Q144" s="13"/>
      <c r="R144" s="18"/>
      <c r="S144" s="12"/>
      <c r="T144" s="15"/>
      <c r="U144" s="15"/>
      <c r="V144" s="15"/>
      <c r="W144" s="15"/>
      <c r="X144" s="18"/>
      <c r="Y144" s="18"/>
      <c r="Z144" s="18"/>
      <c r="AA144" s="36" t="str">
        <f>IF(AND(EvalPower(E144:G144)=EvalPower(H144:Q144), EvalPower(P144)=EvalPower(U144:W144)), "", IF(AND(EvalPower(E144:G144)&lt;&gt;EvalPower(H144:Q144), EvalPower(P144)&lt;&gt;EvalPower(U144:W144)), "NG Total and Power total both mistake", IF(EvalPower(E144:G144)&lt;&gt;EvalPower(H144:Q144), "TOTAL ERROR", "POWER CUT ERROR!")))</f>
        <v/>
      </c>
      <c r="AB144" s="1"/>
      <c r="AC144" s="1"/>
      <c r="AD144" s="1"/>
      <c r="AE144" s="1"/>
      <c r="AF144" s="1"/>
      <c r="AG144" s="1"/>
    </row>
    <row r="145" spans="1:33" ht="22.5" customHeight="1">
      <c r="A145" s="12"/>
      <c r="B145" s="59"/>
      <c r="C145" s="79"/>
      <c r="D145" s="93"/>
      <c r="E145" s="27"/>
      <c r="F145" s="27"/>
      <c r="G145" s="27"/>
      <c r="H145" s="101"/>
      <c r="I145" s="13"/>
      <c r="J145" s="12"/>
      <c r="K145" s="13"/>
      <c r="L145" s="13"/>
      <c r="M145" s="13"/>
      <c r="N145" s="13"/>
      <c r="O145" s="13"/>
      <c r="P145" s="12"/>
      <c r="Q145" s="13"/>
      <c r="R145" s="18"/>
      <c r="S145" s="12"/>
      <c r="T145" s="15"/>
      <c r="U145" s="15"/>
      <c r="V145" s="15"/>
      <c r="W145" s="15"/>
      <c r="X145" s="18"/>
      <c r="Y145" s="18"/>
      <c r="Z145" s="18"/>
      <c r="AA145" s="36" t="str">
        <f t="shared" si="13"/>
        <v/>
      </c>
      <c r="AB145" s="1"/>
      <c r="AC145" s="1"/>
      <c r="AD145" s="1"/>
      <c r="AE145" s="1"/>
      <c r="AF145" s="1"/>
      <c r="AG145" s="1"/>
    </row>
    <row r="146" spans="1:33" ht="22.5" customHeight="1">
      <c r="A146" s="12"/>
      <c r="B146" s="59"/>
      <c r="C146" s="84"/>
      <c r="D146" s="93"/>
      <c r="E146" s="27"/>
      <c r="F146" s="27"/>
      <c r="G146" s="27"/>
      <c r="H146" s="101"/>
      <c r="I146" s="13"/>
      <c r="J146" s="12"/>
      <c r="K146" s="13"/>
      <c r="L146" s="13"/>
      <c r="M146" s="13"/>
      <c r="N146" s="13"/>
      <c r="O146" s="13"/>
      <c r="P146" s="12"/>
      <c r="Q146" s="13"/>
      <c r="R146" s="18"/>
      <c r="S146" s="12"/>
      <c r="T146" s="15"/>
      <c r="U146" s="15"/>
      <c r="V146" s="15"/>
      <c r="W146" s="15"/>
      <c r="X146" s="18"/>
      <c r="Y146" s="18"/>
      <c r="Z146" s="18"/>
      <c r="AA146" s="36" t="str">
        <f>IF(AND(EvalPower(E146:G146)=EvalPower(H146:Q146), EvalPower(P146)=EvalPower(U146:W146)), "", IF(AND(EvalPower(E146:G146)&lt;&gt;EvalPower(H146:Q146), EvalPower(P146)&lt;&gt;EvalPower(U146:W146)), "NG Total and Power total both mistake", IF(EvalPower(E146:G146)&lt;&gt;EvalPower(H146:Q146), "TOTAL ERROR", "POWER CUT ERROR!")))</f>
        <v/>
      </c>
      <c r="AB146" s="1"/>
      <c r="AC146" s="1"/>
      <c r="AD146" s="1"/>
      <c r="AE146" s="1"/>
      <c r="AF146" s="1"/>
      <c r="AG146" s="1"/>
    </row>
    <row r="147" spans="1:33" ht="22.5" customHeight="1">
      <c r="A147" s="12"/>
      <c r="B147" s="59"/>
      <c r="C147" s="84"/>
      <c r="D147" s="93"/>
      <c r="E147" s="27"/>
      <c r="F147" s="27"/>
      <c r="G147" s="27"/>
      <c r="H147" s="101"/>
      <c r="I147" s="13"/>
      <c r="J147" s="12"/>
      <c r="K147" s="13"/>
      <c r="L147" s="13"/>
      <c r="M147" s="13"/>
      <c r="N147" s="13"/>
      <c r="O147" s="13"/>
      <c r="P147" s="12"/>
      <c r="Q147" s="13"/>
      <c r="R147" s="18"/>
      <c r="S147" s="12"/>
      <c r="T147" s="15"/>
      <c r="U147" s="15"/>
      <c r="V147" s="15"/>
      <c r="W147" s="15"/>
      <c r="X147" s="18"/>
      <c r="Y147" s="18"/>
      <c r="Z147" s="18"/>
      <c r="AA147" s="36" t="str">
        <f>IF(AND(EvalPower(E147:G147)=EvalPower(H147:Q147), EvalPower(P147)=EvalPower(U147:W147)), "", IF(AND(EvalPower(E147:G147)&lt;&gt;EvalPower(H147:Q147), EvalPower(P147)&lt;&gt;EvalPower(U147:W147)), "NG Total and Power total both mistake", IF(EvalPower(E147:G147)&lt;&gt;EvalPower(H147:Q147), "TOTAL ERROR", "POWER CUT ERROR!")))</f>
        <v/>
      </c>
      <c r="AB147" s="1"/>
      <c r="AC147" s="1"/>
      <c r="AD147" s="1"/>
      <c r="AE147" s="1"/>
      <c r="AF147" s="1"/>
      <c r="AG147" s="1"/>
    </row>
    <row r="148" spans="1:33" ht="22.5" customHeight="1">
      <c r="A148" s="12"/>
      <c r="B148" s="59"/>
      <c r="C148" s="78"/>
      <c r="D148" s="93"/>
      <c r="E148" s="27"/>
      <c r="F148" s="27"/>
      <c r="G148" s="27"/>
      <c r="H148" s="101"/>
      <c r="I148" s="13"/>
      <c r="J148" s="12"/>
      <c r="K148" s="13"/>
      <c r="L148" s="13"/>
      <c r="M148" s="13"/>
      <c r="N148" s="13"/>
      <c r="O148" s="13"/>
      <c r="P148" s="12"/>
      <c r="Q148" s="13"/>
      <c r="R148" s="18"/>
      <c r="S148" s="12"/>
      <c r="T148" s="15"/>
      <c r="U148" s="15"/>
      <c r="V148" s="15"/>
      <c r="W148" s="15"/>
      <c r="X148" s="18"/>
      <c r="Y148" s="18"/>
      <c r="Z148" s="18"/>
      <c r="AA148" s="36" t="str">
        <f t="shared" si="13"/>
        <v/>
      </c>
      <c r="AB148" s="1"/>
      <c r="AC148" s="1"/>
      <c r="AD148" s="1"/>
      <c r="AE148" s="1"/>
      <c r="AF148" s="1"/>
      <c r="AG148" s="1"/>
    </row>
    <row r="149" spans="1:33" ht="22.5" customHeight="1">
      <c r="A149" s="12"/>
      <c r="B149" s="59"/>
      <c r="C149" s="84"/>
      <c r="D149" s="93"/>
      <c r="E149" s="27"/>
      <c r="F149" s="27"/>
      <c r="G149" s="27"/>
      <c r="H149" s="101"/>
      <c r="I149" s="13"/>
      <c r="J149" s="12"/>
      <c r="K149" s="13"/>
      <c r="L149" s="13"/>
      <c r="M149" s="13"/>
      <c r="N149" s="13"/>
      <c r="O149" s="13"/>
      <c r="P149" s="12"/>
      <c r="Q149" s="13"/>
      <c r="R149" s="18"/>
      <c r="S149" s="12"/>
      <c r="T149" s="15"/>
      <c r="U149" s="15"/>
      <c r="V149" s="15"/>
      <c r="W149" s="15"/>
      <c r="X149" s="18"/>
      <c r="Y149" s="18"/>
      <c r="Z149" s="18"/>
      <c r="AA149" s="36" t="str">
        <f t="shared" si="13"/>
        <v/>
      </c>
      <c r="AB149" s="1"/>
      <c r="AC149" s="1"/>
      <c r="AD149" s="1"/>
      <c r="AE149" s="1"/>
      <c r="AF149" s="1"/>
      <c r="AG149" s="1"/>
    </row>
    <row r="150" spans="1:33" ht="22.5" customHeight="1">
      <c r="A150" s="12"/>
      <c r="B150" s="59"/>
      <c r="C150" s="39"/>
      <c r="D150" s="93"/>
      <c r="E150" s="27"/>
      <c r="F150" s="27"/>
      <c r="G150" s="27"/>
      <c r="H150" s="101"/>
      <c r="I150" s="13"/>
      <c r="J150" s="12"/>
      <c r="K150" s="13"/>
      <c r="L150" s="13"/>
      <c r="M150" s="13"/>
      <c r="N150" s="13"/>
      <c r="O150" s="13"/>
      <c r="P150" s="12"/>
      <c r="Q150" s="13"/>
      <c r="R150" s="18"/>
      <c r="S150" s="12"/>
      <c r="T150" s="15"/>
      <c r="U150" s="15"/>
      <c r="V150" s="15"/>
      <c r="W150" s="15"/>
      <c r="X150" s="18"/>
      <c r="Y150" s="18"/>
      <c r="Z150" s="18"/>
      <c r="AA150" s="36" t="str">
        <f t="shared" si="13"/>
        <v/>
      </c>
      <c r="AB150" s="1"/>
      <c r="AC150" s="1"/>
      <c r="AD150" s="1"/>
      <c r="AE150" s="1"/>
      <c r="AF150" s="1"/>
      <c r="AG150" s="1"/>
    </row>
    <row r="151" spans="1:33" ht="22.5" customHeight="1">
      <c r="A151" s="12"/>
      <c r="B151" s="59"/>
      <c r="C151" s="39"/>
      <c r="D151" s="93"/>
      <c r="E151" s="27"/>
      <c r="F151" s="27"/>
      <c r="G151" s="27"/>
      <c r="H151" s="101"/>
      <c r="I151" s="13"/>
      <c r="J151" s="12"/>
      <c r="K151" s="13"/>
      <c r="L151" s="13"/>
      <c r="M151" s="13"/>
      <c r="N151" s="13"/>
      <c r="O151" s="13"/>
      <c r="P151" s="12"/>
      <c r="Q151" s="13"/>
      <c r="R151" s="18"/>
      <c r="S151" s="12"/>
      <c r="T151" s="15"/>
      <c r="U151" s="15"/>
      <c r="V151" s="15"/>
      <c r="W151" s="15"/>
      <c r="X151" s="18"/>
      <c r="Y151" s="18"/>
      <c r="Z151" s="18"/>
      <c r="AA151" s="36" t="str">
        <f t="shared" si="13"/>
        <v/>
      </c>
      <c r="AB151" s="1"/>
      <c r="AC151" s="1"/>
      <c r="AD151" s="1"/>
      <c r="AE151" s="1"/>
      <c r="AF151" s="1"/>
      <c r="AG151" s="1"/>
    </row>
    <row r="152" spans="1:33" ht="22.5" customHeight="1">
      <c r="A152" s="12"/>
      <c r="B152" s="59"/>
      <c r="C152" s="84"/>
      <c r="D152" s="93"/>
      <c r="E152" s="27"/>
      <c r="F152" s="27"/>
      <c r="G152" s="27"/>
      <c r="H152" s="101"/>
      <c r="I152" s="13"/>
      <c r="J152" s="12"/>
      <c r="K152" s="13"/>
      <c r="L152" s="13"/>
      <c r="M152" s="13"/>
      <c r="N152" s="13"/>
      <c r="O152" s="13"/>
      <c r="P152" s="12"/>
      <c r="Q152" s="13"/>
      <c r="R152" s="18"/>
      <c r="S152" s="12"/>
      <c r="T152" s="15"/>
      <c r="U152" s="15"/>
      <c r="V152" s="15"/>
      <c r="W152" s="15"/>
      <c r="X152" s="18"/>
      <c r="Y152" s="18"/>
      <c r="Z152" s="18"/>
      <c r="AA152" s="36" t="str">
        <f t="shared" si="13"/>
        <v/>
      </c>
      <c r="AB152" s="1"/>
      <c r="AC152" s="1"/>
      <c r="AD152" s="1"/>
      <c r="AE152" s="1"/>
      <c r="AF152" s="1"/>
      <c r="AG152" s="1"/>
    </row>
    <row r="153" spans="1:33" ht="22.5" customHeight="1">
      <c r="A153" s="12"/>
      <c r="B153" s="59"/>
      <c r="C153" s="39"/>
      <c r="D153" s="93"/>
      <c r="E153" s="27"/>
      <c r="F153" s="27"/>
      <c r="G153" s="27"/>
      <c r="H153" s="101"/>
      <c r="I153" s="13"/>
      <c r="J153" s="12"/>
      <c r="K153" s="13"/>
      <c r="L153" s="13"/>
      <c r="M153" s="13"/>
      <c r="N153" s="13"/>
      <c r="O153" s="13"/>
      <c r="P153" s="12"/>
      <c r="Q153" s="13"/>
      <c r="R153" s="64"/>
      <c r="S153" s="12"/>
      <c r="T153" s="15"/>
      <c r="U153" s="15"/>
      <c r="V153" s="15"/>
      <c r="W153" s="15"/>
      <c r="X153" s="18"/>
      <c r="Y153" s="18"/>
      <c r="Z153" s="18"/>
      <c r="AA153" s="36" t="str">
        <f t="shared" si="13"/>
        <v/>
      </c>
      <c r="AB153" s="1"/>
      <c r="AC153" s="1"/>
      <c r="AD153" s="1"/>
      <c r="AE153" s="1"/>
      <c r="AF153" s="1"/>
      <c r="AG153" s="1"/>
    </row>
    <row r="154" spans="1:33" ht="22.5" customHeight="1">
      <c r="A154" s="12"/>
      <c r="B154" s="59"/>
      <c r="C154" s="39"/>
      <c r="D154" s="93"/>
      <c r="E154" s="26"/>
      <c r="F154" s="26"/>
      <c r="G154" s="26"/>
      <c r="H154" s="101"/>
      <c r="I154" s="13"/>
      <c r="J154" s="12"/>
      <c r="K154" s="13"/>
      <c r="L154" s="13"/>
      <c r="M154" s="13"/>
      <c r="N154" s="13"/>
      <c r="O154" s="13"/>
      <c r="P154" s="12"/>
      <c r="Q154" s="13"/>
      <c r="R154" s="64"/>
      <c r="S154" s="12"/>
      <c r="T154" s="15"/>
      <c r="U154" s="15"/>
      <c r="V154" s="15"/>
      <c r="W154" s="15"/>
      <c r="X154" s="18"/>
      <c r="Y154" s="18"/>
      <c r="Z154" s="18"/>
      <c r="AA154" s="36" t="str">
        <f t="shared" si="13"/>
        <v/>
      </c>
      <c r="AB154" s="1"/>
      <c r="AC154" s="1"/>
      <c r="AD154" s="1"/>
      <c r="AE154" s="1"/>
      <c r="AF154" s="1"/>
      <c r="AG154" s="1"/>
    </row>
    <row r="155" spans="1:33" ht="22.5" customHeight="1">
      <c r="A155" s="12"/>
      <c r="B155" s="59"/>
      <c r="C155" s="39"/>
      <c r="D155" s="93"/>
      <c r="E155" s="26"/>
      <c r="F155" s="26"/>
      <c r="G155" s="26"/>
      <c r="H155" s="101"/>
      <c r="I155" s="13"/>
      <c r="J155" s="12"/>
      <c r="K155" s="13"/>
      <c r="L155" s="13"/>
      <c r="M155" s="13"/>
      <c r="N155" s="13"/>
      <c r="O155" s="13"/>
      <c r="P155" s="12"/>
      <c r="Q155" s="13"/>
      <c r="R155" s="64"/>
      <c r="S155" s="12"/>
      <c r="T155" s="15"/>
      <c r="U155" s="15"/>
      <c r="V155" s="15"/>
      <c r="W155" s="15"/>
      <c r="X155" s="18"/>
      <c r="Y155" s="18"/>
      <c r="Z155" s="18"/>
      <c r="AA155" s="36" t="str">
        <f t="shared" si="13"/>
        <v/>
      </c>
      <c r="AB155" s="1"/>
      <c r="AC155" s="1"/>
      <c r="AD155" s="1"/>
      <c r="AE155" s="1"/>
      <c r="AF155" s="1"/>
      <c r="AG155" s="1"/>
    </row>
    <row r="156" spans="1:33" ht="22.5" customHeight="1">
      <c r="A156" s="12"/>
      <c r="B156" s="59"/>
      <c r="C156" s="39"/>
      <c r="D156" s="93"/>
      <c r="E156" s="26"/>
      <c r="F156" s="26"/>
      <c r="G156" s="26"/>
      <c r="H156" s="101"/>
      <c r="I156" s="13"/>
      <c r="J156" s="12"/>
      <c r="K156" s="13"/>
      <c r="L156" s="13"/>
      <c r="M156" s="13"/>
      <c r="N156" s="13"/>
      <c r="O156" s="13"/>
      <c r="P156" s="12"/>
      <c r="Q156" s="13"/>
      <c r="R156" s="64"/>
      <c r="S156" s="12"/>
      <c r="T156" s="15"/>
      <c r="U156" s="15"/>
      <c r="V156" s="15"/>
      <c r="W156" s="15"/>
      <c r="X156" s="18"/>
      <c r="Y156" s="18"/>
      <c r="Z156" s="18"/>
      <c r="AA156" s="36" t="str">
        <f t="shared" si="13"/>
        <v/>
      </c>
      <c r="AB156" s="1"/>
      <c r="AC156" s="1"/>
      <c r="AD156" s="1"/>
      <c r="AE156" s="1"/>
      <c r="AF156" s="1"/>
      <c r="AG156" s="1"/>
    </row>
    <row r="157" spans="1:33" ht="22.5" customHeight="1">
      <c r="A157" s="12"/>
      <c r="B157" s="59"/>
      <c r="C157" s="39"/>
      <c r="D157" s="93"/>
      <c r="E157" s="26"/>
      <c r="F157" s="26"/>
      <c r="G157" s="26"/>
      <c r="H157" s="101"/>
      <c r="I157" s="13"/>
      <c r="J157" s="12"/>
      <c r="K157" s="13"/>
      <c r="L157" s="13"/>
      <c r="M157" s="13"/>
      <c r="N157" s="13"/>
      <c r="O157" s="13"/>
      <c r="P157" s="12"/>
      <c r="Q157" s="13"/>
      <c r="R157" s="64"/>
      <c r="S157" s="12"/>
      <c r="T157" s="15"/>
      <c r="U157" s="15"/>
      <c r="V157" s="15"/>
      <c r="W157" s="15"/>
      <c r="X157" s="18"/>
      <c r="Y157" s="18"/>
      <c r="Z157" s="18"/>
      <c r="AA157" s="36" t="str">
        <f t="shared" ref="AA157:AA163" si="16">IF(AND(EvalPower(E157:G157)=EvalPower(H157:Q157), EvalPower(P157)=EvalPower(U157:W157)), "", IF(AND(EvalPower(E157:G157)&lt;&gt;EvalPower(H157:Q157), EvalPower(P157)&lt;&gt;EvalPower(U157:W157)), "NG Total and Power total both mistake", IF(EvalPower(E157:G157)&lt;&gt;EvalPower(H157:Q157), "TOTAL ERROR", "POWER CUT ERROR!")))</f>
        <v/>
      </c>
      <c r="AB157" s="1"/>
      <c r="AC157" s="1"/>
      <c r="AD157" s="1"/>
      <c r="AE157" s="1"/>
      <c r="AF157" s="1"/>
      <c r="AG157" s="1"/>
    </row>
    <row r="158" spans="1:33" ht="22.5" customHeight="1">
      <c r="A158" s="12"/>
      <c r="B158" s="59"/>
      <c r="C158" s="39"/>
      <c r="D158" s="93"/>
      <c r="E158" s="27"/>
      <c r="F158" s="27"/>
      <c r="G158" s="26"/>
      <c r="H158" s="101"/>
      <c r="I158" s="13"/>
      <c r="J158" s="12"/>
      <c r="K158" s="13"/>
      <c r="L158" s="13"/>
      <c r="M158" s="13"/>
      <c r="N158" s="13"/>
      <c r="O158" s="13"/>
      <c r="P158" s="12"/>
      <c r="Q158" s="13"/>
      <c r="R158" s="64"/>
      <c r="S158" s="12"/>
      <c r="T158" s="15"/>
      <c r="U158" s="15"/>
      <c r="V158" s="15"/>
      <c r="W158" s="15"/>
      <c r="X158" s="18"/>
      <c r="Y158" s="18"/>
      <c r="Z158" s="18"/>
      <c r="AA158" s="36" t="str">
        <f t="shared" si="16"/>
        <v/>
      </c>
      <c r="AB158" s="1"/>
      <c r="AC158" s="1"/>
      <c r="AD158" s="1"/>
      <c r="AE158" s="1"/>
      <c r="AF158" s="1"/>
      <c r="AG158" s="1"/>
    </row>
    <row r="159" spans="1:33" ht="22.5" customHeight="1">
      <c r="A159" s="12"/>
      <c r="B159" s="59"/>
      <c r="C159" s="39"/>
      <c r="D159" s="93"/>
      <c r="E159" s="27"/>
      <c r="F159" s="27"/>
      <c r="G159" s="27"/>
      <c r="H159" s="101"/>
      <c r="I159" s="13"/>
      <c r="J159" s="12"/>
      <c r="K159" s="13"/>
      <c r="L159" s="13"/>
      <c r="M159" s="13"/>
      <c r="N159" s="13"/>
      <c r="O159" s="13"/>
      <c r="P159" s="12"/>
      <c r="Q159" s="13"/>
      <c r="R159" s="64"/>
      <c r="S159" s="12"/>
      <c r="T159" s="15"/>
      <c r="U159" s="15"/>
      <c r="V159" s="15"/>
      <c r="W159" s="15"/>
      <c r="X159" s="18"/>
      <c r="Y159" s="18"/>
      <c r="Z159" s="18"/>
      <c r="AA159" s="36" t="str">
        <f t="shared" si="16"/>
        <v/>
      </c>
      <c r="AB159" s="1"/>
      <c r="AC159" s="1"/>
      <c r="AD159" s="1"/>
      <c r="AE159" s="1"/>
      <c r="AF159" s="1"/>
      <c r="AG159" s="1"/>
    </row>
    <row r="160" spans="1:33" ht="22.5" customHeight="1">
      <c r="A160" s="12"/>
      <c r="B160" s="59"/>
      <c r="C160" s="39"/>
      <c r="D160" s="93"/>
      <c r="E160" s="27"/>
      <c r="F160" s="27"/>
      <c r="G160" s="27"/>
      <c r="H160" s="101"/>
      <c r="I160" s="13"/>
      <c r="J160" s="12"/>
      <c r="K160" s="13"/>
      <c r="L160" s="13"/>
      <c r="M160" s="13"/>
      <c r="N160" s="13"/>
      <c r="O160" s="13"/>
      <c r="P160" s="12"/>
      <c r="Q160" s="13"/>
      <c r="R160" s="64"/>
      <c r="S160" s="12"/>
      <c r="T160" s="15"/>
      <c r="U160" s="15"/>
      <c r="V160" s="15"/>
      <c r="W160" s="15"/>
      <c r="X160" s="18"/>
      <c r="Y160" s="18"/>
      <c r="Z160" s="18"/>
      <c r="AA160" s="36" t="str">
        <f>IF(AND(EvalPower(E160:G160)=EvalPower(H160:Q160), EvalPower(P160)=EvalPower(U160:W160)), "", IF(AND(EvalPower(E160:G160)&lt;&gt;EvalPower(H160:Q160), EvalPower(P160)&lt;&gt;EvalPower(U160:W160)), "NG Total and Power total both mistake", IF(EvalPower(E160:G160)&lt;&gt;EvalPower(H160:Q160), "TOTAL ERROR", "POWER CUT ERROR!")))</f>
        <v/>
      </c>
      <c r="AB160" s="1"/>
      <c r="AC160" s="1"/>
      <c r="AD160" s="1"/>
      <c r="AE160" s="1"/>
      <c r="AF160" s="1"/>
      <c r="AG160" s="1"/>
    </row>
    <row r="161" spans="1:33" ht="22.5" customHeight="1">
      <c r="A161" s="12"/>
      <c r="B161" s="59"/>
      <c r="C161" s="39"/>
      <c r="D161" s="93"/>
      <c r="E161" s="27"/>
      <c r="F161" s="27"/>
      <c r="G161" s="27"/>
      <c r="H161" s="101"/>
      <c r="I161" s="13"/>
      <c r="J161" s="12"/>
      <c r="K161" s="13"/>
      <c r="L161" s="13"/>
      <c r="M161" s="13"/>
      <c r="N161" s="13"/>
      <c r="O161" s="13"/>
      <c r="P161" s="12"/>
      <c r="Q161" s="13"/>
      <c r="R161" s="64"/>
      <c r="S161" s="12"/>
      <c r="T161" s="15"/>
      <c r="U161" s="15"/>
      <c r="V161" s="15"/>
      <c r="W161" s="15"/>
      <c r="X161" s="18"/>
      <c r="Y161" s="18"/>
      <c r="Z161" s="18"/>
      <c r="AA161" s="36" t="str">
        <f t="shared" si="16"/>
        <v/>
      </c>
      <c r="AB161" s="1"/>
      <c r="AC161" s="1"/>
      <c r="AD161" s="1"/>
      <c r="AE161" s="1"/>
      <c r="AF161" s="1"/>
      <c r="AG161" s="1"/>
    </row>
    <row r="162" spans="1:33" ht="22.5" customHeight="1">
      <c r="A162" s="12"/>
      <c r="B162" s="59"/>
      <c r="C162" s="39"/>
      <c r="D162" s="93"/>
      <c r="E162" s="27"/>
      <c r="F162" s="27"/>
      <c r="G162" s="27"/>
      <c r="H162" s="101"/>
      <c r="I162" s="13"/>
      <c r="J162" s="12"/>
      <c r="K162" s="13"/>
      <c r="L162" s="13"/>
      <c r="M162" s="13"/>
      <c r="N162" s="13"/>
      <c r="O162" s="13"/>
      <c r="P162" s="12"/>
      <c r="Q162" s="13"/>
      <c r="R162" s="64"/>
      <c r="S162" s="12"/>
      <c r="T162" s="15"/>
      <c r="U162" s="15"/>
      <c r="V162" s="15"/>
      <c r="W162" s="15"/>
      <c r="X162" s="18"/>
      <c r="Y162" s="18"/>
      <c r="Z162" s="18"/>
      <c r="AA162" s="36" t="str">
        <f>IF(AND(EvalPower(E162:G162)=EvalPower(H162:Q162), EvalPower(P162)=EvalPower(U162:W162)), "", IF(AND(EvalPower(E162:G162)&lt;&gt;EvalPower(H162:Q162), EvalPower(P162)&lt;&gt;EvalPower(U162:W162)), "NG Total and Power total both mistake", IF(EvalPower(E162:G162)&lt;&gt;EvalPower(H162:Q162), "TOTAL ERROR", "POWER CUT ERROR!")))</f>
        <v/>
      </c>
      <c r="AB162" s="1"/>
      <c r="AC162" s="1"/>
      <c r="AD162" s="1"/>
      <c r="AE162" s="1"/>
      <c r="AF162" s="1"/>
      <c r="AG162" s="1"/>
    </row>
    <row r="163" spans="1:33" ht="22.5" customHeight="1">
      <c r="A163" s="12"/>
      <c r="B163" s="59"/>
      <c r="C163" s="39"/>
      <c r="D163" s="93"/>
      <c r="E163" s="27"/>
      <c r="F163" s="27"/>
      <c r="G163" s="27"/>
      <c r="H163" s="101"/>
      <c r="I163" s="13"/>
      <c r="J163" s="12"/>
      <c r="K163" s="13"/>
      <c r="L163" s="13"/>
      <c r="M163" s="13"/>
      <c r="N163" s="13"/>
      <c r="O163" s="13"/>
      <c r="P163" s="12"/>
      <c r="Q163" s="13"/>
      <c r="R163" s="64"/>
      <c r="S163" s="12"/>
      <c r="T163" s="15"/>
      <c r="U163" s="15"/>
      <c r="V163" s="15"/>
      <c r="W163" s="15"/>
      <c r="X163" s="18"/>
      <c r="Y163" s="18"/>
      <c r="Z163" s="18"/>
      <c r="AA163" s="36" t="str">
        <f t="shared" si="16"/>
        <v/>
      </c>
      <c r="AB163" s="1"/>
      <c r="AC163" s="1"/>
      <c r="AD163" s="1"/>
      <c r="AE163" s="1"/>
      <c r="AF163" s="1"/>
      <c r="AG163" s="1"/>
    </row>
    <row r="164" spans="1:33" ht="22.5" customHeight="1">
      <c r="A164" s="12"/>
      <c r="B164" s="59"/>
      <c r="C164" s="39"/>
      <c r="D164" s="93"/>
      <c r="E164" s="27"/>
      <c r="F164" s="27"/>
      <c r="G164" s="27"/>
      <c r="H164" s="101"/>
      <c r="I164" s="13"/>
      <c r="J164" s="12"/>
      <c r="K164" s="13"/>
      <c r="L164" s="13"/>
      <c r="M164" s="13"/>
      <c r="N164" s="13"/>
      <c r="O164" s="13"/>
      <c r="P164" s="12"/>
      <c r="Q164" s="13"/>
      <c r="R164" s="64"/>
      <c r="S164" s="12"/>
      <c r="T164" s="15"/>
      <c r="U164" s="15"/>
      <c r="V164" s="15"/>
      <c r="W164" s="15"/>
      <c r="X164" s="18"/>
      <c r="Y164" s="18"/>
      <c r="Z164" s="18"/>
      <c r="AA164" s="36" t="str">
        <f t="shared" ref="AA164:AA176" si="17">IF(AND(EvalPower(E164:G164)=EvalPower(H164:Q164), EvalPower(P164)=EvalPower(U164:W164)), "", IF(AND(EvalPower(E164:G164)&lt;&gt;EvalPower(H164:Q164), EvalPower(P164)&lt;&gt;EvalPower(U164:W164)), "NG Total and Power total both mistake", IF(EvalPower(E164:G164)&lt;&gt;EvalPower(H164:Q164), "TOTAL ERROR", "POWER CUT ERROR!")))</f>
        <v/>
      </c>
      <c r="AB164" s="1"/>
      <c r="AC164" s="1"/>
      <c r="AD164" s="1"/>
      <c r="AE164" s="1"/>
      <c r="AF164" s="1"/>
      <c r="AG164" s="1"/>
    </row>
    <row r="165" spans="1:33" ht="22.5" customHeight="1">
      <c r="A165" s="12"/>
      <c r="B165" s="59"/>
      <c r="C165" s="39"/>
      <c r="D165" s="93"/>
      <c r="E165" s="27"/>
      <c r="F165" s="27"/>
      <c r="G165" s="27"/>
      <c r="H165" s="101"/>
      <c r="I165" s="13"/>
      <c r="J165" s="12"/>
      <c r="K165" s="13"/>
      <c r="L165" s="13"/>
      <c r="M165" s="13"/>
      <c r="N165" s="13"/>
      <c r="O165" s="13"/>
      <c r="P165" s="12"/>
      <c r="Q165" s="13"/>
      <c r="R165" s="64"/>
      <c r="S165" s="12"/>
      <c r="T165" s="15"/>
      <c r="U165" s="15"/>
      <c r="V165" s="15"/>
      <c r="W165" s="15"/>
      <c r="X165" s="18"/>
      <c r="Y165" s="18"/>
      <c r="Z165" s="18"/>
      <c r="AA165" s="36" t="str">
        <f t="shared" si="17"/>
        <v/>
      </c>
      <c r="AB165" s="1"/>
      <c r="AC165" s="1"/>
      <c r="AD165" s="1"/>
      <c r="AE165" s="1"/>
      <c r="AF165" s="1"/>
      <c r="AG165" s="1"/>
    </row>
    <row r="166" spans="1:33" ht="22.5" customHeight="1">
      <c r="A166" s="12"/>
      <c r="B166" s="59"/>
      <c r="C166" s="39"/>
      <c r="D166" s="93"/>
      <c r="E166" s="27"/>
      <c r="F166" s="27"/>
      <c r="G166" s="27"/>
      <c r="H166" s="101"/>
      <c r="I166" s="13"/>
      <c r="J166" s="12"/>
      <c r="K166" s="13"/>
      <c r="L166" s="13"/>
      <c r="M166" s="13"/>
      <c r="N166" s="13"/>
      <c r="O166" s="13"/>
      <c r="P166" s="12"/>
      <c r="Q166" s="13"/>
      <c r="R166" s="64"/>
      <c r="S166" s="12"/>
      <c r="T166" s="15"/>
      <c r="U166" s="15"/>
      <c r="V166" s="15"/>
      <c r="W166" s="15"/>
      <c r="X166" s="18"/>
      <c r="Y166" s="18"/>
      <c r="Z166" s="18"/>
      <c r="AA166" s="36" t="str">
        <f>IF(AND(EvalPower(E166:G166)=EvalPower(H166:Q166), EvalPower(P166)=EvalPower(U166:W166)), "", IF(AND(EvalPower(E166:G166)&lt;&gt;EvalPower(H166:Q166), EvalPower(P166)&lt;&gt;EvalPower(U166:W166)), "NG Total and Power total both mistake", IF(EvalPower(E166:G166)&lt;&gt;EvalPower(H166:Q166), "TOTAL ERROR", "POWER CUT ERROR!")))</f>
        <v/>
      </c>
      <c r="AB166" s="1"/>
      <c r="AC166" s="1"/>
      <c r="AD166" s="1"/>
      <c r="AE166" s="1"/>
      <c r="AF166" s="1"/>
      <c r="AG166" s="1"/>
    </row>
    <row r="167" spans="1:33" ht="22.5" customHeight="1">
      <c r="A167" s="12"/>
      <c r="B167" s="59"/>
      <c r="C167" s="39"/>
      <c r="D167" s="93"/>
      <c r="E167" s="27"/>
      <c r="F167" s="27"/>
      <c r="G167" s="27"/>
      <c r="H167" s="101"/>
      <c r="I167" s="13"/>
      <c r="J167" s="12"/>
      <c r="K167" s="13"/>
      <c r="L167" s="13"/>
      <c r="M167" s="13"/>
      <c r="N167" s="13"/>
      <c r="O167" s="13"/>
      <c r="P167" s="12"/>
      <c r="Q167" s="13"/>
      <c r="R167" s="64"/>
      <c r="S167" s="12"/>
      <c r="T167" s="15"/>
      <c r="U167" s="15"/>
      <c r="V167" s="15"/>
      <c r="W167" s="15"/>
      <c r="X167" s="18"/>
      <c r="Y167" s="18"/>
      <c r="Z167" s="18"/>
      <c r="AA167" s="36" t="str">
        <f>IF(AND(EvalPower(E167:G167)=EvalPower(H167:Q167), EvalPower(P167)=EvalPower(U167:W167)), "", IF(AND(EvalPower(E167:G167)&lt;&gt;EvalPower(H167:Q167), EvalPower(P167)&lt;&gt;EvalPower(U167:W167)), "NG Total and Power total both mistake", IF(EvalPower(E167:G167)&lt;&gt;EvalPower(H167:Q167), "TOTAL ERROR", "POWER CUT ERROR!")))</f>
        <v/>
      </c>
      <c r="AB167" s="1"/>
      <c r="AC167" s="1"/>
      <c r="AD167" s="1"/>
      <c r="AE167" s="1"/>
      <c r="AF167" s="1"/>
      <c r="AG167" s="1"/>
    </row>
    <row r="168" spans="1:33" ht="22.5" customHeight="1">
      <c r="A168" s="12"/>
      <c r="B168" s="59"/>
      <c r="C168" s="39"/>
      <c r="D168" s="93"/>
      <c r="E168" s="27"/>
      <c r="F168" s="27"/>
      <c r="G168" s="27"/>
      <c r="H168" s="101"/>
      <c r="I168" s="13"/>
      <c r="J168" s="12"/>
      <c r="K168" s="13"/>
      <c r="L168" s="13"/>
      <c r="M168" s="13"/>
      <c r="N168" s="13"/>
      <c r="O168" s="13"/>
      <c r="P168" s="12"/>
      <c r="Q168" s="13"/>
      <c r="R168" s="64"/>
      <c r="S168" s="12"/>
      <c r="T168" s="15"/>
      <c r="U168" s="15"/>
      <c r="V168" s="15"/>
      <c r="W168" s="15"/>
      <c r="X168" s="18"/>
      <c r="Y168" s="18"/>
      <c r="Z168" s="18"/>
      <c r="AA168" s="36" t="str">
        <f>IF(AND(EvalPower(E168:G168)=EvalPower(H168:Q168), EvalPower(P168)=EvalPower(U168:W168)), "", IF(AND(EvalPower(E168:G168)&lt;&gt;EvalPower(H168:Q168), EvalPower(P168)&lt;&gt;EvalPower(U168:W168)), "NG Total and Power total both mistake", IF(EvalPower(E168:G168)&lt;&gt;EvalPower(H168:Q168), "TOTAL ERROR", "POWER CUT ERROR!")))</f>
        <v/>
      </c>
      <c r="AB168" s="1"/>
      <c r="AC168" s="1"/>
      <c r="AD168" s="1"/>
      <c r="AE168" s="1"/>
      <c r="AF168" s="1"/>
      <c r="AG168" s="1"/>
    </row>
    <row r="169" spans="1:33" ht="22.5" customHeight="1">
      <c r="A169" s="12"/>
      <c r="B169" s="59"/>
      <c r="C169" s="39"/>
      <c r="D169" s="93"/>
      <c r="E169" s="27"/>
      <c r="F169" s="27"/>
      <c r="G169" s="27"/>
      <c r="H169" s="101"/>
      <c r="I169" s="13"/>
      <c r="J169" s="12"/>
      <c r="K169" s="13"/>
      <c r="L169" s="13"/>
      <c r="M169" s="13"/>
      <c r="N169" s="13"/>
      <c r="O169" s="13"/>
      <c r="P169" s="12"/>
      <c r="Q169" s="13"/>
      <c r="R169" s="64"/>
      <c r="S169" s="12"/>
      <c r="T169" s="15"/>
      <c r="U169" s="15"/>
      <c r="V169" s="15"/>
      <c r="W169" s="15"/>
      <c r="X169" s="18"/>
      <c r="Y169" s="18"/>
      <c r="Z169" s="18"/>
      <c r="AA169" s="36" t="str">
        <f>IF(AND(EvalPower(E169:G169)=EvalPower(H169:Q169), EvalPower(P169)=EvalPower(U169:W169)), "", IF(AND(EvalPower(E169:G169)&lt;&gt;EvalPower(H169:Q169), EvalPower(P169)&lt;&gt;EvalPower(U169:W169)), "NG Total and Power total both mistake", IF(EvalPower(E169:G169)&lt;&gt;EvalPower(H169:Q169), "TOTAL ERROR", "POWER CUT ERROR!")))</f>
        <v/>
      </c>
      <c r="AB169" s="1"/>
      <c r="AC169" s="1"/>
      <c r="AD169" s="1"/>
      <c r="AE169" s="1"/>
      <c r="AF169" s="1"/>
      <c r="AG169" s="1"/>
    </row>
    <row r="170" spans="1:33" ht="22.5" customHeight="1">
      <c r="A170" s="12"/>
      <c r="B170" s="59"/>
      <c r="C170" s="39"/>
      <c r="D170" s="93"/>
      <c r="E170" s="27"/>
      <c r="F170" s="27"/>
      <c r="G170" s="27"/>
      <c r="H170" s="101"/>
      <c r="I170" s="13"/>
      <c r="J170" s="12"/>
      <c r="K170" s="13"/>
      <c r="L170" s="13"/>
      <c r="M170" s="13"/>
      <c r="N170" s="13"/>
      <c r="O170" s="13"/>
      <c r="P170" s="12"/>
      <c r="Q170" s="13"/>
      <c r="R170" s="64"/>
      <c r="S170" s="12"/>
      <c r="T170" s="15"/>
      <c r="U170" s="15"/>
      <c r="V170" s="15"/>
      <c r="W170" s="15"/>
      <c r="X170" s="18"/>
      <c r="Y170" s="18"/>
      <c r="Z170" s="18"/>
      <c r="AA170" s="36" t="str">
        <f t="shared" si="17"/>
        <v/>
      </c>
      <c r="AB170" s="1"/>
      <c r="AC170" s="1"/>
      <c r="AD170" s="1"/>
      <c r="AE170" s="1"/>
      <c r="AF170" s="1"/>
      <c r="AG170" s="1"/>
    </row>
    <row r="171" spans="1:33" ht="22.5" customHeight="1">
      <c r="A171" s="12"/>
      <c r="B171" s="59"/>
      <c r="C171" s="39"/>
      <c r="D171" s="93"/>
      <c r="E171" s="27"/>
      <c r="F171" s="27"/>
      <c r="G171" s="27"/>
      <c r="H171" s="101"/>
      <c r="I171" s="13"/>
      <c r="J171" s="12"/>
      <c r="K171" s="13"/>
      <c r="L171" s="13"/>
      <c r="M171" s="13"/>
      <c r="N171" s="13"/>
      <c r="O171" s="13"/>
      <c r="P171" s="12"/>
      <c r="Q171" s="13"/>
      <c r="R171" s="64"/>
      <c r="S171" s="12"/>
      <c r="T171" s="15"/>
      <c r="U171" s="15"/>
      <c r="V171" s="15"/>
      <c r="W171" s="15"/>
      <c r="X171" s="18"/>
      <c r="Y171" s="18"/>
      <c r="Z171" s="18"/>
      <c r="AA171" s="36" t="str">
        <f>IF(AND(EvalPower(E171:G171)=EvalPower(H171:Q171), EvalPower(P171)=EvalPower(U171:W171)), "", IF(AND(EvalPower(E171:G171)&lt;&gt;EvalPower(H171:Q171), EvalPower(P171)&lt;&gt;EvalPower(U171:W171)), "NG Total and Power total both mistake", IF(EvalPower(E171:G171)&lt;&gt;EvalPower(H171:Q171), "TOTAL ERROR", "POWER CUT ERROR!")))</f>
        <v/>
      </c>
      <c r="AB171" s="1"/>
      <c r="AC171" s="1"/>
      <c r="AD171" s="1"/>
      <c r="AE171" s="1"/>
      <c r="AF171" s="1"/>
      <c r="AG171" s="1"/>
    </row>
    <row r="172" spans="1:33" ht="22.5" customHeight="1">
      <c r="A172" s="12"/>
      <c r="B172" s="59"/>
      <c r="C172" s="39"/>
      <c r="D172" s="93"/>
      <c r="E172" s="27"/>
      <c r="F172" s="27"/>
      <c r="G172" s="27"/>
      <c r="H172" s="101"/>
      <c r="I172" s="13"/>
      <c r="J172" s="12"/>
      <c r="K172" s="13"/>
      <c r="L172" s="13"/>
      <c r="M172" s="13"/>
      <c r="N172" s="13"/>
      <c r="O172" s="13"/>
      <c r="P172" s="12"/>
      <c r="Q172" s="13"/>
      <c r="R172" s="64"/>
      <c r="S172" s="12"/>
      <c r="T172" s="15"/>
      <c r="U172" s="15"/>
      <c r="V172" s="15"/>
      <c r="W172" s="15"/>
      <c r="X172" s="18"/>
      <c r="Y172" s="18"/>
      <c r="Z172" s="18"/>
      <c r="AA172" s="36" t="str">
        <f>IF(AND(EvalPower(E172:G172)=EvalPower(H172:Q172), EvalPower(P172)=EvalPower(U172:W172)), "", IF(AND(EvalPower(E172:G172)&lt;&gt;EvalPower(H172:Q172), EvalPower(P172)&lt;&gt;EvalPower(U172:W172)), "NG Total and Power total both mistake", IF(EvalPower(E172:G172)&lt;&gt;EvalPower(H172:Q172), "TOTAL ERROR", "POWER CUT ERROR!")))</f>
        <v/>
      </c>
      <c r="AB172" s="1"/>
      <c r="AC172" s="1"/>
      <c r="AD172" s="1"/>
      <c r="AE172" s="1"/>
      <c r="AF172" s="1"/>
      <c r="AG172" s="1"/>
    </row>
    <row r="173" spans="1:33" ht="22.5" customHeight="1">
      <c r="A173" s="12"/>
      <c r="B173" s="59"/>
      <c r="C173" s="39"/>
      <c r="D173" s="93"/>
      <c r="E173" s="27"/>
      <c r="F173" s="27"/>
      <c r="G173" s="27"/>
      <c r="H173" s="101"/>
      <c r="I173" s="13"/>
      <c r="J173" s="12"/>
      <c r="K173" s="13"/>
      <c r="L173" s="13"/>
      <c r="M173" s="13"/>
      <c r="N173" s="13"/>
      <c r="O173" s="13"/>
      <c r="P173" s="12"/>
      <c r="Q173" s="13"/>
      <c r="R173" s="64"/>
      <c r="S173" s="12"/>
      <c r="T173" s="15"/>
      <c r="U173" s="15"/>
      <c r="V173" s="15"/>
      <c r="W173" s="15"/>
      <c r="X173" s="18"/>
      <c r="Y173" s="18"/>
      <c r="Z173" s="18"/>
      <c r="AA173" s="36" t="str">
        <f t="shared" si="17"/>
        <v/>
      </c>
      <c r="AB173" s="1"/>
      <c r="AC173" s="1"/>
      <c r="AD173" s="1"/>
      <c r="AE173" s="1"/>
      <c r="AF173" s="1"/>
      <c r="AG173" s="1"/>
    </row>
    <row r="174" spans="1:33" ht="22.5" customHeight="1">
      <c r="A174" s="12"/>
      <c r="B174" s="59"/>
      <c r="C174" s="39"/>
      <c r="D174" s="93"/>
      <c r="E174" s="27"/>
      <c r="F174" s="27"/>
      <c r="G174" s="27"/>
      <c r="H174" s="101"/>
      <c r="I174" s="13"/>
      <c r="J174" s="12"/>
      <c r="K174" s="13"/>
      <c r="L174" s="13"/>
      <c r="M174" s="13"/>
      <c r="N174" s="13"/>
      <c r="O174" s="13"/>
      <c r="P174" s="12"/>
      <c r="Q174" s="13"/>
      <c r="R174" s="64"/>
      <c r="S174" s="12"/>
      <c r="T174" s="15"/>
      <c r="U174" s="15"/>
      <c r="V174" s="15"/>
      <c r="W174" s="15"/>
      <c r="X174" s="18"/>
      <c r="Y174" s="18"/>
      <c r="Z174" s="18"/>
      <c r="AA174" s="36" t="str">
        <f>IF(AND(EvalPower(E174:G174)=EvalPower(H174:Q174), EvalPower(P174)=EvalPower(U174:W174)), "", IF(AND(EvalPower(E174:G174)&lt;&gt;EvalPower(H174:Q174), EvalPower(P174)&lt;&gt;EvalPower(U174:W174)), "NG Total and Power total both mistake", IF(EvalPower(E174:G174)&lt;&gt;EvalPower(H174:Q174), "TOTAL ERROR", "POWER CUT ERROR!")))</f>
        <v/>
      </c>
      <c r="AB174" s="1"/>
      <c r="AC174" s="1"/>
      <c r="AD174" s="1"/>
      <c r="AE174" s="1"/>
      <c r="AF174" s="1"/>
      <c r="AG174" s="1"/>
    </row>
    <row r="175" spans="1:33" ht="22.5" customHeight="1">
      <c r="A175" s="12"/>
      <c r="B175" s="59"/>
      <c r="C175" s="39"/>
      <c r="D175" s="93"/>
      <c r="E175" s="27"/>
      <c r="F175" s="27"/>
      <c r="G175" s="27"/>
      <c r="H175" s="101"/>
      <c r="I175" s="13"/>
      <c r="J175" s="12"/>
      <c r="K175" s="13"/>
      <c r="L175" s="13"/>
      <c r="M175" s="13"/>
      <c r="N175" s="13"/>
      <c r="O175" s="13"/>
      <c r="P175" s="12"/>
      <c r="Q175" s="13"/>
      <c r="R175" s="64"/>
      <c r="S175" s="12"/>
      <c r="T175" s="15"/>
      <c r="U175" s="15"/>
      <c r="V175" s="15"/>
      <c r="W175" s="15"/>
      <c r="X175" s="18"/>
      <c r="Y175" s="18"/>
      <c r="Z175" s="18"/>
      <c r="AA175" s="36" t="str">
        <f t="shared" si="17"/>
        <v/>
      </c>
      <c r="AB175" s="1"/>
      <c r="AC175" s="1"/>
      <c r="AD175" s="1"/>
      <c r="AE175" s="1"/>
      <c r="AF175" s="1"/>
      <c r="AG175" s="1"/>
    </row>
    <row r="176" spans="1:33" ht="22.5" customHeight="1">
      <c r="A176" s="12"/>
      <c r="B176" s="59"/>
      <c r="C176" s="39"/>
      <c r="D176" s="93"/>
      <c r="E176" s="27"/>
      <c r="F176" s="27"/>
      <c r="G176" s="27"/>
      <c r="H176" s="101"/>
      <c r="I176" s="13"/>
      <c r="J176" s="12"/>
      <c r="K176" s="13"/>
      <c r="L176" s="13"/>
      <c r="M176" s="13"/>
      <c r="N176" s="13"/>
      <c r="O176" s="13"/>
      <c r="P176" s="12"/>
      <c r="Q176" s="13"/>
      <c r="R176" s="64"/>
      <c r="S176" s="12"/>
      <c r="T176" s="15"/>
      <c r="U176" s="15"/>
      <c r="V176" s="15"/>
      <c r="W176" s="15"/>
      <c r="X176" s="18"/>
      <c r="Y176" s="18"/>
      <c r="Z176" s="18"/>
      <c r="AA176" s="36" t="str">
        <f t="shared" si="17"/>
        <v/>
      </c>
      <c r="AB176" s="1"/>
      <c r="AC176" s="1"/>
      <c r="AD176" s="1"/>
      <c r="AE176" s="1"/>
      <c r="AF176" s="1"/>
      <c r="AG176" s="1"/>
    </row>
    <row r="177" spans="1:33" ht="22.5" customHeight="1">
      <c r="A177" s="12"/>
      <c r="B177" s="59"/>
      <c r="C177" s="39"/>
      <c r="D177" s="93"/>
      <c r="E177" s="27"/>
      <c r="F177" s="27"/>
      <c r="G177" s="27"/>
      <c r="H177" s="101"/>
      <c r="I177" s="13"/>
      <c r="J177" s="12"/>
      <c r="K177" s="13"/>
      <c r="L177" s="13"/>
      <c r="M177" s="13"/>
      <c r="N177" s="13"/>
      <c r="O177" s="13"/>
      <c r="P177" s="12"/>
      <c r="Q177" s="13"/>
      <c r="R177" s="64"/>
      <c r="S177" s="12"/>
      <c r="T177" s="15"/>
      <c r="U177" s="15"/>
      <c r="V177" s="15"/>
      <c r="W177" s="15"/>
      <c r="X177" s="18"/>
      <c r="Y177" s="18"/>
      <c r="Z177" s="18"/>
      <c r="AA177" s="36" t="str">
        <f t="shared" ref="AA177:AA183" si="18">IF(AND(EvalPower(E177:G177)=EvalPower(H177:Q177), EvalPower(P177)=EvalPower(U177:W177)), "", IF(AND(EvalPower(E177:G177)&lt;&gt;EvalPower(H177:Q177), EvalPower(P177)&lt;&gt;EvalPower(U177:W177)), "NG Total and Power total both mistake", IF(EvalPower(E177:G177)&lt;&gt;EvalPower(H177:Q177), "TOTAL ERROR", "POWER CUT ERROR!")))</f>
        <v/>
      </c>
      <c r="AB177" s="1"/>
      <c r="AC177" s="1"/>
      <c r="AD177" s="1"/>
      <c r="AE177" s="1"/>
      <c r="AF177" s="1"/>
      <c r="AG177" s="1"/>
    </row>
    <row r="178" spans="1:33" ht="22.5" customHeight="1">
      <c r="A178" s="12"/>
      <c r="B178" s="59"/>
      <c r="C178" s="39"/>
      <c r="D178" s="93"/>
      <c r="E178" s="27"/>
      <c r="F178" s="27"/>
      <c r="G178" s="27"/>
      <c r="H178" s="101"/>
      <c r="I178" s="13"/>
      <c r="J178" s="12"/>
      <c r="K178" s="13"/>
      <c r="L178" s="13"/>
      <c r="M178" s="13"/>
      <c r="N178" s="13"/>
      <c r="O178" s="13"/>
      <c r="P178" s="12"/>
      <c r="Q178" s="13"/>
      <c r="R178" s="64"/>
      <c r="S178" s="12"/>
      <c r="T178" s="15"/>
      <c r="U178" s="15"/>
      <c r="V178" s="15"/>
      <c r="W178" s="15"/>
      <c r="X178" s="18"/>
      <c r="Y178" s="18"/>
      <c r="Z178" s="18"/>
      <c r="AA178" s="36" t="str">
        <f t="shared" si="18"/>
        <v/>
      </c>
      <c r="AB178" s="1"/>
      <c r="AC178" s="1"/>
      <c r="AD178" s="1"/>
      <c r="AE178" s="1"/>
      <c r="AF178" s="1"/>
      <c r="AG178" s="1"/>
    </row>
    <row r="179" spans="1:33" ht="22.5" customHeight="1">
      <c r="A179" s="12"/>
      <c r="B179" s="59"/>
      <c r="C179" s="39"/>
      <c r="D179" s="93"/>
      <c r="E179" s="27"/>
      <c r="F179" s="27"/>
      <c r="G179" s="27"/>
      <c r="H179" s="101"/>
      <c r="I179" s="13"/>
      <c r="J179" s="12"/>
      <c r="K179" s="13"/>
      <c r="L179" s="13"/>
      <c r="M179" s="13"/>
      <c r="N179" s="13"/>
      <c r="O179" s="13"/>
      <c r="P179" s="12"/>
      <c r="Q179" s="13"/>
      <c r="R179" s="64"/>
      <c r="S179" s="12"/>
      <c r="T179" s="15"/>
      <c r="U179" s="15"/>
      <c r="V179" s="15"/>
      <c r="W179" s="15"/>
      <c r="X179" s="18"/>
      <c r="Y179" s="18"/>
      <c r="Z179" s="18"/>
      <c r="AA179" s="36" t="str">
        <f t="shared" si="18"/>
        <v/>
      </c>
      <c r="AB179" s="1"/>
      <c r="AC179" s="1"/>
      <c r="AD179" s="1"/>
      <c r="AE179" s="1"/>
      <c r="AF179" s="1"/>
      <c r="AG179" s="1"/>
    </row>
    <row r="180" spans="1:33" ht="22.5" customHeight="1">
      <c r="A180" s="12"/>
      <c r="B180" s="59"/>
      <c r="C180" s="39"/>
      <c r="D180" s="93"/>
      <c r="E180" s="27"/>
      <c r="F180" s="27"/>
      <c r="G180" s="27"/>
      <c r="H180" s="101"/>
      <c r="I180" s="13"/>
      <c r="J180" s="12"/>
      <c r="K180" s="13"/>
      <c r="L180" s="13"/>
      <c r="M180" s="13"/>
      <c r="N180" s="13"/>
      <c r="O180" s="13"/>
      <c r="P180" s="12"/>
      <c r="Q180" s="13"/>
      <c r="R180" s="64"/>
      <c r="S180" s="12"/>
      <c r="T180" s="15"/>
      <c r="U180" s="15"/>
      <c r="V180" s="15"/>
      <c r="W180" s="15"/>
      <c r="X180" s="18"/>
      <c r="Y180" s="18"/>
      <c r="Z180" s="18"/>
      <c r="AA180" s="36" t="str">
        <f t="shared" si="18"/>
        <v/>
      </c>
      <c r="AB180" s="1"/>
      <c r="AC180" s="1"/>
      <c r="AD180" s="1"/>
      <c r="AE180" s="1"/>
      <c r="AF180" s="1"/>
      <c r="AG180" s="1"/>
    </row>
    <row r="181" spans="1:33" ht="22.5" customHeight="1">
      <c r="A181" s="12"/>
      <c r="B181" s="59"/>
      <c r="C181" s="39"/>
      <c r="D181" s="63"/>
      <c r="E181" s="27"/>
      <c r="F181" s="27"/>
      <c r="G181" s="27"/>
      <c r="H181" s="101"/>
      <c r="I181" s="13"/>
      <c r="J181" s="12"/>
      <c r="K181" s="13"/>
      <c r="L181" s="13"/>
      <c r="M181" s="13"/>
      <c r="N181" s="13"/>
      <c r="O181" s="13"/>
      <c r="P181" s="12"/>
      <c r="Q181" s="13"/>
      <c r="R181" s="64"/>
      <c r="S181" s="12"/>
      <c r="T181" s="15"/>
      <c r="U181" s="15"/>
      <c r="V181" s="15"/>
      <c r="W181" s="15"/>
      <c r="X181" s="18"/>
      <c r="Y181" s="18"/>
      <c r="Z181" s="18"/>
      <c r="AA181" s="36" t="str">
        <f t="shared" si="18"/>
        <v/>
      </c>
      <c r="AB181" s="1"/>
      <c r="AC181" s="1"/>
      <c r="AD181" s="1"/>
      <c r="AE181" s="1"/>
      <c r="AF181" s="1"/>
      <c r="AG181" s="1"/>
    </row>
    <row r="182" spans="1:33" ht="22.5" customHeight="1">
      <c r="A182" s="12"/>
      <c r="B182" s="59"/>
      <c r="C182" s="39"/>
      <c r="D182" s="63"/>
      <c r="E182" s="27"/>
      <c r="F182" s="27"/>
      <c r="G182" s="27"/>
      <c r="H182" s="101"/>
      <c r="I182" s="13"/>
      <c r="J182" s="12"/>
      <c r="K182" s="13"/>
      <c r="L182" s="13"/>
      <c r="M182" s="13"/>
      <c r="N182" s="13"/>
      <c r="O182" s="13"/>
      <c r="P182" s="12"/>
      <c r="Q182" s="13"/>
      <c r="R182" s="64"/>
      <c r="S182" s="12"/>
      <c r="T182" s="15"/>
      <c r="U182" s="15"/>
      <c r="V182" s="15"/>
      <c r="W182" s="15"/>
      <c r="X182" s="18"/>
      <c r="Y182" s="18"/>
      <c r="Z182" s="18"/>
      <c r="AA182" s="36" t="str">
        <f t="shared" si="18"/>
        <v/>
      </c>
      <c r="AB182" s="1"/>
      <c r="AC182" s="1"/>
      <c r="AD182" s="1"/>
      <c r="AE182" s="1"/>
      <c r="AF182" s="1"/>
      <c r="AG182" s="1"/>
    </row>
    <row r="183" spans="1:33" ht="22.5" customHeight="1">
      <c r="A183" s="12"/>
      <c r="B183" s="59"/>
      <c r="C183" s="39"/>
      <c r="D183" s="63"/>
      <c r="E183" s="27"/>
      <c r="F183" s="27"/>
      <c r="G183" s="27"/>
      <c r="H183" s="101"/>
      <c r="I183" s="13"/>
      <c r="J183" s="12"/>
      <c r="K183" s="13"/>
      <c r="L183" s="13"/>
      <c r="M183" s="13"/>
      <c r="N183" s="13"/>
      <c r="O183" s="13"/>
      <c r="P183" s="12"/>
      <c r="Q183" s="13"/>
      <c r="R183" s="64"/>
      <c r="S183" s="12"/>
      <c r="T183" s="15"/>
      <c r="U183" s="15"/>
      <c r="V183" s="15"/>
      <c r="W183" s="15"/>
      <c r="X183" s="18"/>
      <c r="Y183" s="18"/>
      <c r="Z183" s="18"/>
      <c r="AA183" s="36" t="str">
        <f t="shared" si="18"/>
        <v/>
      </c>
      <c r="AB183" s="1"/>
      <c r="AC183" s="1"/>
      <c r="AD183" s="1"/>
      <c r="AE183" s="1"/>
      <c r="AF183" s="1"/>
      <c r="AG183" s="1"/>
    </row>
    <row r="184" spans="1:33" ht="22.5" customHeight="1">
      <c r="A184" s="12"/>
      <c r="B184" s="59"/>
      <c r="C184" s="39"/>
      <c r="D184" s="63"/>
      <c r="E184" s="27"/>
      <c r="F184" s="27"/>
      <c r="G184" s="27"/>
      <c r="H184" s="101"/>
      <c r="I184" s="13"/>
      <c r="J184" s="12"/>
      <c r="K184" s="13"/>
      <c r="L184" s="13"/>
      <c r="M184" s="13"/>
      <c r="N184" s="13"/>
      <c r="O184" s="13"/>
      <c r="P184" s="12"/>
      <c r="Q184" s="13"/>
      <c r="R184" s="64"/>
      <c r="S184" s="12"/>
      <c r="T184" s="15"/>
      <c r="U184" s="15"/>
      <c r="V184" s="15"/>
      <c r="W184" s="15"/>
      <c r="X184" s="18"/>
      <c r="Y184" s="18"/>
      <c r="Z184" s="18"/>
      <c r="AA184" s="36" t="str">
        <f t="shared" ref="AA184:AA185" si="19">IF(AND(EvalPower(E184:G184)=EvalPower(H184:Q184), EvalPower(P184)=EvalPower(U184:W184)), "", IF(AND(EvalPower(E184:G184)&lt;&gt;EvalPower(H184:Q184), EvalPower(P184)&lt;&gt;EvalPower(U184:W184)), "NG Total and Power total both mistake", IF(EvalPower(E184:G184)&lt;&gt;EvalPower(H184:Q184), "TOTAL ERROR", "POWER CUT ERROR!")))</f>
        <v/>
      </c>
      <c r="AB184" s="1"/>
      <c r="AC184" s="1"/>
      <c r="AD184" s="1"/>
      <c r="AE184" s="1"/>
      <c r="AF184" s="1"/>
      <c r="AG184" s="1"/>
    </row>
    <row r="185" spans="1:33" ht="22.5" customHeight="1">
      <c r="A185" s="12"/>
      <c r="B185" s="59"/>
      <c r="C185" s="39"/>
      <c r="D185" s="94"/>
      <c r="E185" s="27"/>
      <c r="F185" s="27"/>
      <c r="G185" s="27"/>
      <c r="H185" s="101"/>
      <c r="I185" s="13"/>
      <c r="J185" s="12"/>
      <c r="K185" s="13"/>
      <c r="L185" s="13"/>
      <c r="M185" s="13"/>
      <c r="N185" s="13"/>
      <c r="O185" s="13"/>
      <c r="P185" s="12"/>
      <c r="Q185" s="13"/>
      <c r="R185" s="64"/>
      <c r="S185" s="12"/>
      <c r="T185" s="15"/>
      <c r="U185" s="15"/>
      <c r="V185" s="15"/>
      <c r="W185" s="15"/>
      <c r="X185" s="18"/>
      <c r="Y185" s="18"/>
      <c r="Z185" s="18"/>
      <c r="AA185" s="36" t="str">
        <f t="shared" si="19"/>
        <v/>
      </c>
      <c r="AB185" s="1"/>
      <c r="AC185" s="1"/>
      <c r="AD185" s="1"/>
      <c r="AE185" s="1"/>
      <c r="AF185" s="1"/>
      <c r="AG185" s="1"/>
    </row>
    <row r="186" spans="1:33" ht="22.5" customHeight="1">
      <c r="A186" s="12"/>
      <c r="B186" s="59"/>
      <c r="C186" s="39"/>
      <c r="D186" s="94"/>
      <c r="E186" s="27"/>
      <c r="F186" s="27"/>
      <c r="G186" s="27"/>
      <c r="H186" s="101"/>
      <c r="I186" s="13"/>
      <c r="J186" s="12"/>
      <c r="K186" s="13"/>
      <c r="L186" s="13"/>
      <c r="M186" s="13"/>
      <c r="N186" s="13"/>
      <c r="O186" s="13"/>
      <c r="P186" s="12"/>
      <c r="Q186" s="13"/>
      <c r="R186" s="64"/>
      <c r="S186" s="12"/>
      <c r="T186" s="15"/>
      <c r="U186" s="15"/>
      <c r="V186" s="15"/>
      <c r="W186" s="15"/>
      <c r="X186" s="18"/>
      <c r="Y186" s="18"/>
      <c r="Z186" s="18"/>
      <c r="AA186" s="36" t="str">
        <f t="shared" ref="AA186:AA205" si="20">IF(AND(EvalPower(E186:G186)=EvalPower(H186:Q186), EvalPower(P186)=EvalPower(U186:W186)), "", IF(AND(EvalPower(E186:G186)&lt;&gt;EvalPower(H186:Q186), EvalPower(P186)&lt;&gt;EvalPower(U186:W186)), "NG Total and Power total both mistake", IF(EvalPower(E186:G186)&lt;&gt;EvalPower(H186:Q186), "TOTAL ERROR", "POWER CUT ERROR!")))</f>
        <v/>
      </c>
      <c r="AB186" s="1"/>
      <c r="AC186" s="1"/>
      <c r="AD186" s="1"/>
      <c r="AE186" s="1"/>
      <c r="AF186" s="1"/>
      <c r="AG186" s="1"/>
    </row>
    <row r="187" spans="1:33" ht="22.5" customHeight="1">
      <c r="A187" s="12"/>
      <c r="B187" s="14"/>
      <c r="C187" s="12"/>
      <c r="D187" s="94"/>
      <c r="E187" s="27"/>
      <c r="F187" s="27"/>
      <c r="G187" s="27"/>
      <c r="H187" s="101"/>
      <c r="I187" s="13"/>
      <c r="J187" s="12"/>
      <c r="K187" s="13"/>
      <c r="L187" s="13"/>
      <c r="M187" s="13"/>
      <c r="N187" s="13"/>
      <c r="O187" s="13"/>
      <c r="P187" s="12"/>
      <c r="Q187" s="13"/>
      <c r="R187" s="64"/>
      <c r="S187" s="12"/>
      <c r="T187" s="15"/>
      <c r="U187" s="15"/>
      <c r="V187" s="15"/>
      <c r="W187" s="15"/>
      <c r="X187" s="18"/>
      <c r="Y187" s="18"/>
      <c r="Z187" s="18"/>
      <c r="AA187" s="36" t="str">
        <f>IF(AND(EvalPower(E187:G187)=EvalPower(H187:Q187), EvalPower(P187)=EvalPower(U187:W187)), "", IF(AND(EvalPower(E187:G187)&lt;&gt;EvalPower(H187:Q187), EvalPower(P187)&lt;&gt;EvalPower(U187:W187)), "NG Total and Power total both mistake", IF(EvalPower(E187:G187)&lt;&gt;EvalPower(H187:Q187), "TOTAL ERROR", "POWER CUT ERROR!")))</f>
        <v/>
      </c>
      <c r="AB187" s="1"/>
      <c r="AC187" s="1"/>
      <c r="AD187" s="1"/>
      <c r="AE187" s="1"/>
      <c r="AF187" s="1"/>
      <c r="AG187" s="1"/>
    </row>
    <row r="188" spans="1:33" ht="22.5" customHeight="1">
      <c r="A188" s="12"/>
      <c r="B188" s="14"/>
      <c r="C188" s="12"/>
      <c r="D188" s="94"/>
      <c r="E188" s="27"/>
      <c r="F188" s="27"/>
      <c r="G188" s="27"/>
      <c r="H188" s="101"/>
      <c r="I188" s="13"/>
      <c r="J188" s="12"/>
      <c r="K188" s="13"/>
      <c r="L188" s="13"/>
      <c r="M188" s="13"/>
      <c r="N188" s="13"/>
      <c r="O188" s="13"/>
      <c r="P188" s="12"/>
      <c r="Q188" s="13"/>
      <c r="R188" s="64"/>
      <c r="S188" s="12"/>
      <c r="T188" s="15"/>
      <c r="U188" s="15"/>
      <c r="V188" s="15"/>
      <c r="W188" s="15"/>
      <c r="X188" s="18"/>
      <c r="Y188" s="18"/>
      <c r="Z188" s="18"/>
      <c r="AA188" s="36" t="str">
        <f>IF(AND(EvalPower(E188:G188)=EvalPower(H188:Q188), EvalPower(P188)=EvalPower(U188:W188)), "", IF(AND(EvalPower(E188:G188)&lt;&gt;EvalPower(H188:Q188), EvalPower(P188)&lt;&gt;EvalPower(U188:W188)), "NG Total and Power total both mistake", IF(EvalPower(E188:G188)&lt;&gt;EvalPower(H188:Q188), "TOTAL ERROR", "POWER CUT ERROR!")))</f>
        <v/>
      </c>
      <c r="AB188" s="1"/>
      <c r="AC188" s="1"/>
      <c r="AD188" s="1"/>
      <c r="AE188" s="1"/>
      <c r="AF188" s="1"/>
      <c r="AG188" s="1"/>
    </row>
    <row r="189" spans="1:33" ht="22.5" customHeight="1">
      <c r="A189" s="12"/>
      <c r="B189" s="14"/>
      <c r="C189" s="12"/>
      <c r="D189" s="94"/>
      <c r="E189" s="27"/>
      <c r="F189" s="27"/>
      <c r="G189" s="27"/>
      <c r="H189" s="101"/>
      <c r="I189" s="13"/>
      <c r="J189" s="12"/>
      <c r="K189" s="13"/>
      <c r="L189" s="13"/>
      <c r="M189" s="13"/>
      <c r="N189" s="13"/>
      <c r="O189" s="13"/>
      <c r="P189" s="12"/>
      <c r="Q189" s="13"/>
      <c r="R189" s="64"/>
      <c r="S189" s="12"/>
      <c r="T189" s="15"/>
      <c r="U189" s="15"/>
      <c r="V189" s="15"/>
      <c r="W189" s="15"/>
      <c r="X189" s="18"/>
      <c r="Y189" s="18"/>
      <c r="Z189" s="18"/>
      <c r="AA189" s="36" t="str">
        <f>IF(AND(EvalPower(E189:G189)=EvalPower(H189:Q189), EvalPower(P189)=EvalPower(U189:W189)), "", IF(AND(EvalPower(E189:G189)&lt;&gt;EvalPower(H189:Q189), EvalPower(P189)&lt;&gt;EvalPower(U189:W189)), "NG Total and Power total both mistake", IF(EvalPower(E189:G189)&lt;&gt;EvalPower(H189:Q189), "TOTAL ERROR", "POWER CUT ERROR!")))</f>
        <v/>
      </c>
      <c r="AB189" s="1"/>
      <c r="AC189" s="1"/>
      <c r="AD189" s="1"/>
      <c r="AE189" s="1"/>
      <c r="AF189" s="1"/>
      <c r="AG189" s="1"/>
    </row>
    <row r="190" spans="1:33" ht="22.5" customHeight="1">
      <c r="A190" s="12"/>
      <c r="B190" s="14"/>
      <c r="C190" s="12"/>
      <c r="D190" s="94"/>
      <c r="E190" s="27"/>
      <c r="F190" s="27"/>
      <c r="G190" s="27"/>
      <c r="H190" s="101"/>
      <c r="I190" s="13"/>
      <c r="J190" s="12"/>
      <c r="K190" s="13"/>
      <c r="L190" s="13"/>
      <c r="M190" s="13"/>
      <c r="N190" s="13"/>
      <c r="O190" s="13"/>
      <c r="P190" s="12"/>
      <c r="Q190" s="13"/>
      <c r="R190" s="64"/>
      <c r="S190" s="12"/>
      <c r="T190" s="15"/>
      <c r="U190" s="15"/>
      <c r="V190" s="15"/>
      <c r="W190" s="15"/>
      <c r="X190" s="18"/>
      <c r="Y190" s="18"/>
      <c r="Z190" s="18"/>
      <c r="AA190" s="36" t="str">
        <f t="shared" ref="AA190:AA202" si="21">IF(AND(EvalPower(E190:G190)=EvalPower(H190:Q190), EvalPower(P190)=EvalPower(U190:W190)), "", IF(AND(EvalPower(E190:G190)&lt;&gt;EvalPower(H190:Q190), EvalPower(P190)&lt;&gt;EvalPower(U190:W190)), "NG Total and Power total both mistake", IF(EvalPower(E190:G190)&lt;&gt;EvalPower(H190:Q190), "TOTAL ERROR", "POWER CUT ERROR!")))</f>
        <v/>
      </c>
      <c r="AB190" s="1"/>
      <c r="AC190" s="1"/>
      <c r="AD190" s="1"/>
      <c r="AE190" s="1"/>
      <c r="AF190" s="1"/>
      <c r="AG190" s="1"/>
    </row>
    <row r="191" spans="1:33" ht="22.5" customHeight="1">
      <c r="A191" s="12"/>
      <c r="B191" s="14"/>
      <c r="C191" s="12"/>
      <c r="D191" s="94"/>
      <c r="E191" s="27"/>
      <c r="F191" s="27"/>
      <c r="G191" s="27"/>
      <c r="H191" s="101"/>
      <c r="I191" s="13"/>
      <c r="J191" s="12"/>
      <c r="K191" s="13"/>
      <c r="L191" s="13"/>
      <c r="M191" s="13"/>
      <c r="N191" s="13"/>
      <c r="O191" s="13"/>
      <c r="P191" s="12"/>
      <c r="Q191" s="13"/>
      <c r="R191" s="64"/>
      <c r="S191" s="12"/>
      <c r="T191" s="15"/>
      <c r="U191" s="15"/>
      <c r="V191" s="15"/>
      <c r="W191" s="15"/>
      <c r="X191" s="18"/>
      <c r="Y191" s="18"/>
      <c r="Z191" s="18"/>
      <c r="AA191" s="36" t="str">
        <f t="shared" si="21"/>
        <v/>
      </c>
      <c r="AB191" s="1"/>
      <c r="AC191" s="1"/>
      <c r="AD191" s="1"/>
      <c r="AE191" s="1"/>
      <c r="AF191" s="1"/>
      <c r="AG191" s="1"/>
    </row>
    <row r="192" spans="1:33" ht="22.5" customHeight="1">
      <c r="A192" s="12"/>
      <c r="B192" s="14"/>
      <c r="C192" s="12"/>
      <c r="D192" s="94"/>
      <c r="E192" s="27"/>
      <c r="F192" s="27"/>
      <c r="G192" s="27"/>
      <c r="H192" s="101"/>
      <c r="I192" s="13"/>
      <c r="J192" s="12"/>
      <c r="K192" s="13"/>
      <c r="L192" s="13"/>
      <c r="M192" s="13"/>
      <c r="N192" s="13"/>
      <c r="O192" s="13"/>
      <c r="P192" s="12"/>
      <c r="Q192" s="13"/>
      <c r="R192" s="64"/>
      <c r="S192" s="12"/>
      <c r="T192" s="15"/>
      <c r="U192" s="15"/>
      <c r="V192" s="15"/>
      <c r="W192" s="15"/>
      <c r="X192" s="18"/>
      <c r="Y192" s="18"/>
      <c r="Z192" s="18"/>
      <c r="AA192" s="36" t="str">
        <f t="shared" si="21"/>
        <v/>
      </c>
      <c r="AB192" s="1"/>
      <c r="AC192" s="1"/>
      <c r="AD192" s="1"/>
      <c r="AE192" s="1"/>
      <c r="AF192" s="1"/>
      <c r="AG192" s="1"/>
    </row>
    <row r="193" spans="1:33" ht="22.5" customHeight="1">
      <c r="A193" s="12"/>
      <c r="B193" s="14"/>
      <c r="C193" s="12"/>
      <c r="D193" s="94"/>
      <c r="E193" s="27"/>
      <c r="F193" s="27"/>
      <c r="G193" s="27"/>
      <c r="H193" s="101"/>
      <c r="I193" s="13"/>
      <c r="J193" s="12"/>
      <c r="K193" s="13"/>
      <c r="L193" s="13"/>
      <c r="M193" s="13"/>
      <c r="N193" s="13"/>
      <c r="O193" s="13"/>
      <c r="P193" s="12"/>
      <c r="Q193" s="13"/>
      <c r="R193" s="64"/>
      <c r="S193" s="12"/>
      <c r="T193" s="15"/>
      <c r="U193" s="15"/>
      <c r="V193" s="15"/>
      <c r="W193" s="15"/>
      <c r="X193" s="18"/>
      <c r="Y193" s="18"/>
      <c r="Z193" s="18"/>
      <c r="AA193" s="36" t="str">
        <f t="shared" si="21"/>
        <v/>
      </c>
      <c r="AB193" s="1"/>
      <c r="AC193" s="1"/>
      <c r="AD193" s="1"/>
      <c r="AE193" s="1"/>
      <c r="AF193" s="1"/>
      <c r="AG193" s="1"/>
    </row>
    <row r="194" spans="1:33" ht="22.5" customHeight="1">
      <c r="A194" s="12"/>
      <c r="B194" s="14"/>
      <c r="C194" s="12"/>
      <c r="D194" s="94"/>
      <c r="E194" s="27"/>
      <c r="F194" s="27"/>
      <c r="G194" s="27"/>
      <c r="H194" s="101"/>
      <c r="I194" s="13"/>
      <c r="J194" s="12"/>
      <c r="K194" s="13"/>
      <c r="L194" s="13"/>
      <c r="M194" s="13"/>
      <c r="N194" s="13"/>
      <c r="O194" s="13"/>
      <c r="P194" s="12"/>
      <c r="Q194" s="13"/>
      <c r="R194" s="64"/>
      <c r="S194" s="12"/>
      <c r="T194" s="15"/>
      <c r="U194" s="15"/>
      <c r="V194" s="15"/>
      <c r="W194" s="15"/>
      <c r="X194" s="18"/>
      <c r="Y194" s="18"/>
      <c r="Z194" s="18"/>
      <c r="AA194" s="36" t="str">
        <f t="shared" si="21"/>
        <v/>
      </c>
      <c r="AB194" s="1"/>
      <c r="AC194" s="1"/>
      <c r="AD194" s="1"/>
      <c r="AE194" s="1"/>
      <c r="AF194" s="1"/>
      <c r="AG194" s="1"/>
    </row>
    <row r="195" spans="1:33" ht="22.5" customHeight="1">
      <c r="A195" s="12"/>
      <c r="B195" s="14"/>
      <c r="C195" s="12"/>
      <c r="D195" s="94"/>
      <c r="E195" s="27"/>
      <c r="F195" s="27"/>
      <c r="G195" s="27"/>
      <c r="H195" s="101"/>
      <c r="I195" s="13"/>
      <c r="J195" s="12"/>
      <c r="K195" s="13"/>
      <c r="L195" s="13"/>
      <c r="M195" s="13"/>
      <c r="N195" s="13"/>
      <c r="O195" s="13"/>
      <c r="P195" s="12"/>
      <c r="Q195" s="13"/>
      <c r="R195" s="64"/>
      <c r="S195" s="12"/>
      <c r="T195" s="15"/>
      <c r="U195" s="15"/>
      <c r="V195" s="15"/>
      <c r="W195" s="15"/>
      <c r="X195" s="18"/>
      <c r="Y195" s="18"/>
      <c r="Z195" s="18"/>
      <c r="AA195" s="36" t="str">
        <f t="shared" si="21"/>
        <v/>
      </c>
      <c r="AB195" s="1"/>
      <c r="AC195" s="1"/>
      <c r="AD195" s="1"/>
      <c r="AE195" s="1"/>
      <c r="AF195" s="1"/>
      <c r="AG195" s="1"/>
    </row>
    <row r="196" spans="1:33" ht="22.5" customHeight="1">
      <c r="A196" s="12"/>
      <c r="B196" s="14"/>
      <c r="C196" s="12"/>
      <c r="D196" s="94"/>
      <c r="E196" s="27"/>
      <c r="F196" s="27"/>
      <c r="G196" s="27"/>
      <c r="H196" s="101"/>
      <c r="I196" s="13"/>
      <c r="J196" s="12"/>
      <c r="K196" s="13"/>
      <c r="L196" s="13"/>
      <c r="M196" s="13"/>
      <c r="N196" s="13"/>
      <c r="O196" s="13"/>
      <c r="P196" s="12"/>
      <c r="Q196" s="13"/>
      <c r="R196" s="64"/>
      <c r="S196" s="12"/>
      <c r="T196" s="15"/>
      <c r="U196" s="15"/>
      <c r="V196" s="15"/>
      <c r="W196" s="15"/>
      <c r="X196" s="18"/>
      <c r="Y196" s="18"/>
      <c r="Z196" s="18"/>
      <c r="AA196" s="36" t="str">
        <f t="shared" si="21"/>
        <v/>
      </c>
      <c r="AB196" s="1"/>
      <c r="AC196" s="1"/>
      <c r="AD196" s="1"/>
      <c r="AE196" s="1"/>
      <c r="AF196" s="1"/>
      <c r="AG196" s="1"/>
    </row>
    <row r="197" spans="1:33" ht="22.5" customHeight="1">
      <c r="A197" s="12"/>
      <c r="B197" s="14"/>
      <c r="C197" s="12"/>
      <c r="D197" s="94"/>
      <c r="E197" s="27"/>
      <c r="F197" s="27"/>
      <c r="G197" s="27"/>
      <c r="H197" s="101"/>
      <c r="I197" s="13"/>
      <c r="J197" s="12"/>
      <c r="K197" s="13"/>
      <c r="L197" s="13"/>
      <c r="M197" s="13"/>
      <c r="N197" s="13"/>
      <c r="O197" s="13"/>
      <c r="P197" s="12"/>
      <c r="Q197" s="13"/>
      <c r="R197" s="64"/>
      <c r="S197" s="12"/>
      <c r="T197" s="15"/>
      <c r="U197" s="15"/>
      <c r="V197" s="15"/>
      <c r="W197" s="15"/>
      <c r="X197" s="18"/>
      <c r="Y197" s="18"/>
      <c r="Z197" s="18"/>
      <c r="AA197" s="36" t="str">
        <f t="shared" si="21"/>
        <v/>
      </c>
      <c r="AB197" s="1"/>
      <c r="AC197" s="1"/>
      <c r="AD197" s="1"/>
      <c r="AE197" s="1"/>
      <c r="AF197" s="1"/>
      <c r="AG197" s="1"/>
    </row>
    <row r="198" spans="1:33" ht="22.5" customHeight="1">
      <c r="A198" s="12"/>
      <c r="B198" s="14"/>
      <c r="C198" s="12"/>
      <c r="D198" s="94"/>
      <c r="E198" s="27"/>
      <c r="F198" s="27"/>
      <c r="G198" s="27"/>
      <c r="H198" s="101"/>
      <c r="I198" s="13"/>
      <c r="J198" s="12"/>
      <c r="K198" s="13"/>
      <c r="L198" s="13"/>
      <c r="M198" s="13"/>
      <c r="N198" s="13"/>
      <c r="O198" s="13"/>
      <c r="P198" s="12"/>
      <c r="Q198" s="13"/>
      <c r="R198" s="64"/>
      <c r="S198" s="12"/>
      <c r="T198" s="15"/>
      <c r="U198" s="15"/>
      <c r="V198" s="15"/>
      <c r="W198" s="15"/>
      <c r="X198" s="18"/>
      <c r="Y198" s="18"/>
      <c r="Z198" s="18"/>
      <c r="AA198" s="36" t="str">
        <f t="shared" si="21"/>
        <v/>
      </c>
      <c r="AB198" s="1"/>
      <c r="AC198" s="1"/>
      <c r="AD198" s="1"/>
      <c r="AE198" s="1"/>
      <c r="AF198" s="1"/>
      <c r="AG198" s="1"/>
    </row>
    <row r="199" spans="1:33" ht="22.5" customHeight="1">
      <c r="A199" s="12"/>
      <c r="B199" s="14"/>
      <c r="C199" s="12"/>
      <c r="D199" s="94"/>
      <c r="E199" s="27"/>
      <c r="F199" s="27"/>
      <c r="G199" s="27"/>
      <c r="H199" s="101"/>
      <c r="I199" s="13"/>
      <c r="J199" s="12"/>
      <c r="K199" s="13"/>
      <c r="L199" s="13"/>
      <c r="M199" s="13"/>
      <c r="N199" s="13"/>
      <c r="O199" s="13"/>
      <c r="P199" s="12"/>
      <c r="Q199" s="13"/>
      <c r="R199" s="64"/>
      <c r="S199" s="12"/>
      <c r="T199" s="15"/>
      <c r="U199" s="15"/>
      <c r="V199" s="15"/>
      <c r="W199" s="15"/>
      <c r="X199" s="18"/>
      <c r="Y199" s="18"/>
      <c r="Z199" s="18"/>
      <c r="AA199" s="36" t="str">
        <f t="shared" si="21"/>
        <v/>
      </c>
      <c r="AB199" s="1"/>
      <c r="AC199" s="1"/>
      <c r="AD199" s="1"/>
      <c r="AE199" s="1"/>
      <c r="AF199" s="1"/>
      <c r="AG199" s="1"/>
    </row>
    <row r="200" spans="1:33" ht="22.5" customHeight="1">
      <c r="A200" s="12"/>
      <c r="B200" s="14"/>
      <c r="C200" s="12"/>
      <c r="D200" s="94"/>
      <c r="E200" s="27"/>
      <c r="F200" s="27"/>
      <c r="G200" s="27"/>
      <c r="H200" s="101"/>
      <c r="I200" s="13"/>
      <c r="J200" s="12"/>
      <c r="K200" s="13"/>
      <c r="L200" s="13"/>
      <c r="M200" s="13"/>
      <c r="N200" s="13"/>
      <c r="O200" s="13"/>
      <c r="P200" s="12"/>
      <c r="Q200" s="13"/>
      <c r="R200" s="64"/>
      <c r="S200" s="12"/>
      <c r="T200" s="15"/>
      <c r="U200" s="15"/>
      <c r="V200" s="15"/>
      <c r="W200" s="15"/>
      <c r="X200" s="18"/>
      <c r="Y200" s="18"/>
      <c r="Z200" s="18"/>
      <c r="AA200" s="36" t="str">
        <f t="shared" si="21"/>
        <v/>
      </c>
      <c r="AB200" s="1"/>
      <c r="AC200" s="1"/>
      <c r="AD200" s="1"/>
      <c r="AE200" s="1"/>
      <c r="AF200" s="1"/>
      <c r="AG200" s="1"/>
    </row>
    <row r="201" spans="1:33" ht="22.5" customHeight="1">
      <c r="A201" s="12"/>
      <c r="B201" s="14"/>
      <c r="C201" s="12"/>
      <c r="D201" s="94"/>
      <c r="E201" s="27"/>
      <c r="F201" s="27"/>
      <c r="G201" s="27"/>
      <c r="H201" s="101"/>
      <c r="I201" s="13"/>
      <c r="J201" s="12"/>
      <c r="K201" s="13"/>
      <c r="L201" s="13"/>
      <c r="M201" s="13"/>
      <c r="N201" s="13"/>
      <c r="O201" s="13"/>
      <c r="P201" s="12"/>
      <c r="Q201" s="13"/>
      <c r="R201" s="64"/>
      <c r="S201" s="12"/>
      <c r="T201" s="15"/>
      <c r="U201" s="15"/>
      <c r="V201" s="15"/>
      <c r="W201" s="15"/>
      <c r="X201" s="18"/>
      <c r="Y201" s="18"/>
      <c r="Z201" s="18"/>
      <c r="AA201" s="36" t="str">
        <f t="shared" si="21"/>
        <v/>
      </c>
      <c r="AB201" s="1"/>
      <c r="AC201" s="1"/>
      <c r="AD201" s="1"/>
      <c r="AE201" s="1"/>
      <c r="AF201" s="1"/>
      <c r="AG201" s="1"/>
    </row>
    <row r="202" spans="1:33" ht="22.5" customHeight="1">
      <c r="A202" s="12"/>
      <c r="B202" s="14"/>
      <c r="C202" s="12"/>
      <c r="D202" s="94"/>
      <c r="E202" s="27"/>
      <c r="F202" s="27"/>
      <c r="G202" s="27"/>
      <c r="H202" s="101"/>
      <c r="I202" s="13"/>
      <c r="J202" s="12"/>
      <c r="K202" s="13"/>
      <c r="L202" s="13"/>
      <c r="M202" s="13"/>
      <c r="N202" s="13"/>
      <c r="O202" s="13"/>
      <c r="P202" s="12"/>
      <c r="Q202" s="13"/>
      <c r="R202" s="64"/>
      <c r="S202" s="12"/>
      <c r="T202" s="15"/>
      <c r="U202" s="15"/>
      <c r="V202" s="15"/>
      <c r="W202" s="15"/>
      <c r="X202" s="18"/>
      <c r="Y202" s="18"/>
      <c r="Z202" s="18"/>
      <c r="AA202" s="36" t="str">
        <f t="shared" si="21"/>
        <v/>
      </c>
      <c r="AB202" s="1"/>
      <c r="AC202" s="1"/>
      <c r="AD202" s="1"/>
      <c r="AE202" s="1"/>
      <c r="AF202" s="1"/>
      <c r="AG202" s="1"/>
    </row>
    <row r="203" spans="1:33" ht="22.5" customHeight="1">
      <c r="A203" s="12"/>
      <c r="B203" s="14"/>
      <c r="C203" s="12"/>
      <c r="D203" s="94"/>
      <c r="E203" s="27"/>
      <c r="F203" s="27"/>
      <c r="G203" s="27"/>
      <c r="H203" s="101"/>
      <c r="I203" s="13"/>
      <c r="J203" s="12"/>
      <c r="K203" s="13"/>
      <c r="L203" s="13"/>
      <c r="M203" s="13"/>
      <c r="N203" s="13"/>
      <c r="O203" s="13"/>
      <c r="P203" s="12"/>
      <c r="Q203" s="13"/>
      <c r="R203" s="64"/>
      <c r="S203" s="12"/>
      <c r="T203" s="15"/>
      <c r="U203" s="15"/>
      <c r="V203" s="15"/>
      <c r="W203" s="15"/>
      <c r="X203" s="18"/>
      <c r="Y203" s="18"/>
      <c r="Z203" s="18"/>
      <c r="AA203" s="36" t="str">
        <f t="shared" si="20"/>
        <v/>
      </c>
      <c r="AB203" s="1"/>
      <c r="AC203" s="1"/>
      <c r="AD203" s="1"/>
      <c r="AE203" s="1"/>
      <c r="AF203" s="1"/>
      <c r="AG203" s="1"/>
    </row>
    <row r="204" spans="1:33" ht="22.5" customHeight="1">
      <c r="A204" s="12"/>
      <c r="B204" s="14"/>
      <c r="C204" s="12"/>
      <c r="D204" s="94"/>
      <c r="E204" s="27"/>
      <c r="F204" s="27"/>
      <c r="G204" s="27"/>
      <c r="H204" s="101"/>
      <c r="I204" s="13"/>
      <c r="J204" s="12"/>
      <c r="K204" s="13"/>
      <c r="L204" s="13"/>
      <c r="M204" s="13"/>
      <c r="N204" s="13"/>
      <c r="O204" s="13"/>
      <c r="P204" s="12"/>
      <c r="Q204" s="13"/>
      <c r="R204" s="64"/>
      <c r="S204" s="12"/>
      <c r="T204" s="15"/>
      <c r="U204" s="15"/>
      <c r="V204" s="15"/>
      <c r="W204" s="15"/>
      <c r="X204" s="18"/>
      <c r="Y204" s="18"/>
      <c r="Z204" s="18"/>
      <c r="AA204" s="36" t="str">
        <f t="shared" si="20"/>
        <v/>
      </c>
      <c r="AB204" s="1"/>
      <c r="AC204" s="1"/>
      <c r="AD204" s="1"/>
      <c r="AE204" s="1"/>
      <c r="AF204" s="1"/>
      <c r="AG204" s="1"/>
    </row>
    <row r="205" spans="1:33" ht="22.5" customHeight="1">
      <c r="A205" s="12"/>
      <c r="B205" s="14"/>
      <c r="C205" s="12"/>
      <c r="D205" s="94"/>
      <c r="E205" s="27"/>
      <c r="F205" s="27"/>
      <c r="G205" s="27"/>
      <c r="H205" s="101"/>
      <c r="I205" s="13"/>
      <c r="J205" s="12"/>
      <c r="K205" s="13"/>
      <c r="L205" s="13"/>
      <c r="M205" s="13"/>
      <c r="N205" s="13"/>
      <c r="O205" s="13"/>
      <c r="P205" s="12"/>
      <c r="Q205" s="13"/>
      <c r="R205" s="64"/>
      <c r="S205" s="12"/>
      <c r="T205" s="15"/>
      <c r="U205" s="15"/>
      <c r="V205" s="15"/>
      <c r="W205" s="15"/>
      <c r="X205" s="18"/>
      <c r="Y205" s="18"/>
      <c r="Z205" s="18"/>
      <c r="AA205" s="36" t="str">
        <f t="shared" si="20"/>
        <v/>
      </c>
      <c r="AB205" s="1"/>
      <c r="AC205" s="1"/>
      <c r="AD205" s="1"/>
      <c r="AE205" s="1"/>
      <c r="AF205" s="1"/>
      <c r="AG205" s="1"/>
    </row>
    <row r="206" spans="1:33" ht="22.5" customHeight="1">
      <c r="A206" s="12"/>
      <c r="B206" s="14"/>
      <c r="C206" s="12"/>
      <c r="D206" s="94"/>
      <c r="E206" s="27"/>
      <c r="F206" s="27"/>
      <c r="G206" s="27"/>
      <c r="H206" s="101"/>
      <c r="I206" s="13"/>
      <c r="J206" s="12"/>
      <c r="K206" s="13"/>
      <c r="L206" s="13"/>
      <c r="M206" s="13"/>
      <c r="N206" s="13"/>
      <c r="O206" s="13"/>
      <c r="P206" s="12"/>
      <c r="Q206" s="13"/>
      <c r="R206" s="64"/>
      <c r="S206" s="12"/>
      <c r="T206" s="15"/>
      <c r="U206" s="15"/>
      <c r="V206" s="15"/>
      <c r="W206" s="15"/>
      <c r="X206" s="18"/>
      <c r="Y206" s="18"/>
      <c r="Z206" s="18"/>
      <c r="AA206" s="36" t="str">
        <f t="shared" ref="AA206:AA211" si="22">IF(AND(EvalPower(E206:G206)=EvalPower(H206:Q206), EvalPower(P206)=EvalPower(U206:W206)), "", IF(AND(EvalPower(E206:G206)&lt;&gt;EvalPower(H206:Q206), EvalPower(P206)&lt;&gt;EvalPower(U206:W206)), "NG Total and Power total both mistake", IF(EvalPower(E206:G206)&lt;&gt;EvalPower(H206:Q206), "TOTAL ERROR", "POWER CUT ERROR!")))</f>
        <v/>
      </c>
      <c r="AB206" s="1"/>
      <c r="AC206" s="1"/>
      <c r="AD206" s="1"/>
      <c r="AE206" s="1"/>
      <c r="AF206" s="1"/>
      <c r="AG206" s="1"/>
    </row>
    <row r="207" spans="1:33" ht="22.5" customHeight="1">
      <c r="A207" s="12"/>
      <c r="B207" s="14"/>
      <c r="C207" s="12"/>
      <c r="D207" s="94"/>
      <c r="E207" s="27"/>
      <c r="F207" s="27"/>
      <c r="G207" s="27"/>
      <c r="H207" s="101"/>
      <c r="I207" s="13"/>
      <c r="J207" s="12"/>
      <c r="K207" s="13"/>
      <c r="L207" s="13"/>
      <c r="M207" s="13"/>
      <c r="N207" s="13"/>
      <c r="O207" s="13"/>
      <c r="P207" s="12"/>
      <c r="Q207" s="13"/>
      <c r="R207" s="64"/>
      <c r="S207" s="12"/>
      <c r="T207" s="15"/>
      <c r="U207" s="15"/>
      <c r="V207" s="15"/>
      <c r="W207" s="15"/>
      <c r="X207" s="18"/>
      <c r="Y207" s="18"/>
      <c r="Z207" s="18"/>
      <c r="AA207" s="36" t="str">
        <f>IF(AND(EvalPower(E207:G207)=EvalPower(H207:Q207), EvalPower(P207)=EvalPower(U207:W207)), "", IF(AND(EvalPower(E207:G207)&lt;&gt;EvalPower(H207:Q207), EvalPower(P207)&lt;&gt;EvalPower(U207:W207)), "NG Total and Power total both mistake", IF(EvalPower(E207:G207)&lt;&gt;EvalPower(H207:Q207), "TOTAL ERROR", "POWER CUT ERROR!")))</f>
        <v/>
      </c>
      <c r="AB207" s="1"/>
      <c r="AC207" s="1"/>
      <c r="AD207" s="1"/>
      <c r="AE207" s="1"/>
      <c r="AF207" s="1"/>
      <c r="AG207" s="1"/>
    </row>
    <row r="208" spans="1:33" ht="22.5" customHeight="1">
      <c r="A208" s="12"/>
      <c r="B208" s="14"/>
      <c r="C208" s="12"/>
      <c r="D208" s="94"/>
      <c r="E208" s="27"/>
      <c r="F208" s="27"/>
      <c r="G208" s="27"/>
      <c r="H208" s="101"/>
      <c r="I208" s="13"/>
      <c r="J208" s="12"/>
      <c r="K208" s="13"/>
      <c r="L208" s="13"/>
      <c r="M208" s="13"/>
      <c r="N208" s="13"/>
      <c r="O208" s="13"/>
      <c r="P208" s="12"/>
      <c r="Q208" s="13"/>
      <c r="R208" s="64"/>
      <c r="S208" s="12"/>
      <c r="T208" s="15"/>
      <c r="U208" s="15"/>
      <c r="V208" s="15"/>
      <c r="W208" s="15"/>
      <c r="X208" s="18"/>
      <c r="Y208" s="18"/>
      <c r="Z208" s="18"/>
      <c r="AA208" s="36" t="str">
        <f>IF(AND(EvalPower(E208:G208)=EvalPower(H208:Q208), EvalPower(P208)=EvalPower(U208:W208)), "", IF(AND(EvalPower(E208:G208)&lt;&gt;EvalPower(H208:Q208), EvalPower(P208)&lt;&gt;EvalPower(U208:W208)), "NG Total and Power total both mistake", IF(EvalPower(E208:G208)&lt;&gt;EvalPower(H208:Q208), "TOTAL ERROR", "POWER CUT ERROR!")))</f>
        <v/>
      </c>
      <c r="AB208" s="1"/>
      <c r="AC208" s="1"/>
      <c r="AD208" s="1"/>
      <c r="AE208" s="1"/>
      <c r="AF208" s="1"/>
      <c r="AG208" s="1"/>
    </row>
    <row r="209" spans="1:33" ht="22.5" customHeight="1">
      <c r="A209" s="12"/>
      <c r="B209" s="14"/>
      <c r="C209" s="12"/>
      <c r="D209" s="94"/>
      <c r="E209" s="27"/>
      <c r="F209" s="27"/>
      <c r="G209" s="27"/>
      <c r="H209" s="101"/>
      <c r="I209" s="13"/>
      <c r="J209" s="12"/>
      <c r="K209" s="13"/>
      <c r="L209" s="13"/>
      <c r="M209" s="13"/>
      <c r="N209" s="13"/>
      <c r="O209" s="13"/>
      <c r="P209" s="12"/>
      <c r="Q209" s="13"/>
      <c r="R209" s="64"/>
      <c r="S209" s="12"/>
      <c r="T209" s="15"/>
      <c r="U209" s="15"/>
      <c r="V209" s="15"/>
      <c r="W209" s="15"/>
      <c r="X209" s="18"/>
      <c r="Y209" s="18"/>
      <c r="Z209" s="18"/>
      <c r="AA209" s="36" t="str">
        <f t="shared" si="22"/>
        <v/>
      </c>
      <c r="AB209" s="1"/>
      <c r="AC209" s="1"/>
      <c r="AD209" s="1"/>
      <c r="AE209" s="1"/>
      <c r="AF209" s="1"/>
      <c r="AG209" s="1"/>
    </row>
    <row r="210" spans="1:33" ht="22.5" customHeight="1">
      <c r="A210" s="12"/>
      <c r="B210" s="14"/>
      <c r="C210" s="12"/>
      <c r="D210" s="94"/>
      <c r="E210" s="27"/>
      <c r="F210" s="27"/>
      <c r="G210" s="27"/>
      <c r="H210" s="101"/>
      <c r="I210" s="13"/>
      <c r="J210" s="12"/>
      <c r="K210" s="13"/>
      <c r="L210" s="13"/>
      <c r="M210" s="13"/>
      <c r="N210" s="13"/>
      <c r="O210" s="13"/>
      <c r="P210" s="12"/>
      <c r="Q210" s="13"/>
      <c r="R210" s="64"/>
      <c r="S210" s="12"/>
      <c r="T210" s="15"/>
      <c r="U210" s="15"/>
      <c r="V210" s="15"/>
      <c r="W210" s="15"/>
      <c r="X210" s="18"/>
      <c r="Y210" s="18"/>
      <c r="Z210" s="18"/>
      <c r="AA210" s="36" t="str">
        <f>IF(AND(EvalPower(E210:G210)=EvalPower(H210:Q210), EvalPower(P210)=EvalPower(U210:W210)), "", IF(AND(EvalPower(E210:G210)&lt;&gt;EvalPower(H210:Q210), EvalPower(P210)&lt;&gt;EvalPower(U210:W210)), "NG Total and Power total both mistake", IF(EvalPower(E210:G210)&lt;&gt;EvalPower(H210:Q210), "TOTAL ERROR", "POWER CUT ERROR!")))</f>
        <v/>
      </c>
      <c r="AB210" s="1"/>
      <c r="AC210" s="1"/>
      <c r="AD210" s="1"/>
      <c r="AE210" s="1"/>
      <c r="AF210" s="1"/>
      <c r="AG210" s="1"/>
    </row>
    <row r="211" spans="1:33" ht="22.5" customHeight="1">
      <c r="A211" s="12"/>
      <c r="B211" s="14"/>
      <c r="C211" s="12"/>
      <c r="D211" s="94"/>
      <c r="E211" s="27"/>
      <c r="F211" s="27"/>
      <c r="G211" s="27"/>
      <c r="H211" s="101"/>
      <c r="I211" s="13"/>
      <c r="J211" s="12"/>
      <c r="K211" s="13"/>
      <c r="L211" s="13"/>
      <c r="M211" s="13"/>
      <c r="N211" s="13"/>
      <c r="O211" s="13"/>
      <c r="P211" s="12"/>
      <c r="Q211" s="13"/>
      <c r="R211" s="64"/>
      <c r="S211" s="12"/>
      <c r="T211" s="15"/>
      <c r="U211" s="15"/>
      <c r="V211" s="15"/>
      <c r="W211" s="15"/>
      <c r="X211" s="18"/>
      <c r="Y211" s="18"/>
      <c r="Z211" s="18"/>
      <c r="AA211" s="36" t="str">
        <f t="shared" si="22"/>
        <v/>
      </c>
      <c r="AB211" s="1"/>
      <c r="AC211" s="1"/>
      <c r="AD211" s="1"/>
      <c r="AE211" s="1"/>
      <c r="AF211" s="1"/>
      <c r="AG211" s="1"/>
    </row>
    <row r="212" spans="1:33" ht="22.5" customHeight="1">
      <c r="A212" s="12"/>
      <c r="B212" s="14"/>
      <c r="C212" s="12"/>
      <c r="D212" s="94"/>
      <c r="E212" s="27"/>
      <c r="F212" s="27"/>
      <c r="G212" s="27"/>
      <c r="H212" s="101"/>
      <c r="I212" s="13"/>
      <c r="J212" s="12"/>
      <c r="K212" s="13"/>
      <c r="L212" s="13"/>
      <c r="M212" s="13"/>
      <c r="N212" s="13"/>
      <c r="O212" s="13"/>
      <c r="P212" s="12"/>
      <c r="Q212" s="13"/>
      <c r="R212" s="64"/>
      <c r="S212" s="12"/>
      <c r="T212" s="15"/>
      <c r="U212" s="15"/>
      <c r="V212" s="15"/>
      <c r="W212" s="15"/>
      <c r="X212" s="18"/>
      <c r="Y212" s="18"/>
      <c r="Z212" s="18"/>
      <c r="AA212" s="36" t="str">
        <f t="shared" ref="AA212:AA215" si="23">IF(AND(EvalPower(E212:G212)=EvalPower(H212:Q212), EvalPower(P212)=EvalPower(U212:W212)), "", IF(AND(EvalPower(E212:G212)&lt;&gt;EvalPower(H212:Q212), EvalPower(P212)&lt;&gt;EvalPower(U212:W212)), "NG Total and Power total both mistake", IF(EvalPower(E212:G212)&lt;&gt;EvalPower(H212:Q212), "TOTAL ERROR", "POWER CUT ERROR!")))</f>
        <v/>
      </c>
      <c r="AB212" s="1"/>
      <c r="AC212" s="1"/>
      <c r="AD212" s="1"/>
      <c r="AE212" s="1"/>
      <c r="AF212" s="1"/>
      <c r="AG212" s="1"/>
    </row>
    <row r="213" spans="1:33" ht="22.5" customHeight="1">
      <c r="A213" s="12"/>
      <c r="B213" s="14"/>
      <c r="C213" s="12"/>
      <c r="D213" s="94"/>
      <c r="E213" s="27"/>
      <c r="F213" s="27"/>
      <c r="G213" s="27"/>
      <c r="H213" s="101"/>
      <c r="I213" s="13"/>
      <c r="J213" s="12"/>
      <c r="K213" s="13"/>
      <c r="L213" s="13"/>
      <c r="M213" s="13"/>
      <c r="N213" s="13"/>
      <c r="O213" s="13"/>
      <c r="P213" s="12"/>
      <c r="Q213" s="13"/>
      <c r="R213" s="64"/>
      <c r="S213" s="12"/>
      <c r="T213" s="15"/>
      <c r="U213" s="15"/>
      <c r="V213" s="15"/>
      <c r="W213" s="15"/>
      <c r="X213" s="18"/>
      <c r="Y213" s="18"/>
      <c r="Z213" s="18"/>
      <c r="AA213" s="36" t="str">
        <f>IF(AND(EvalPower(E213:G213)=EvalPower(H213:Q213), EvalPower(P213)=EvalPower(U213:W213)), "", IF(AND(EvalPower(E213:G213)&lt;&gt;EvalPower(H213:Q213), EvalPower(P213)&lt;&gt;EvalPower(U213:W213)), "NG Total and Power total both mistake", IF(EvalPower(E213:G213)&lt;&gt;EvalPower(H213:Q213), "TOTAL ERROR", "POWER CUT ERROR!")))</f>
        <v/>
      </c>
      <c r="AB213" s="1"/>
      <c r="AC213" s="1"/>
      <c r="AD213" s="1"/>
      <c r="AE213" s="1"/>
      <c r="AF213" s="1"/>
      <c r="AG213" s="1"/>
    </row>
    <row r="214" spans="1:33" ht="22.5" customHeight="1">
      <c r="A214" s="12"/>
      <c r="B214" s="14"/>
      <c r="C214" s="12"/>
      <c r="D214" s="94"/>
      <c r="E214" s="27"/>
      <c r="F214" s="27"/>
      <c r="G214" s="27"/>
      <c r="H214" s="101"/>
      <c r="I214" s="13"/>
      <c r="J214" s="12"/>
      <c r="K214" s="13"/>
      <c r="L214" s="13"/>
      <c r="M214" s="13"/>
      <c r="N214" s="13"/>
      <c r="O214" s="13"/>
      <c r="P214" s="12"/>
      <c r="Q214" s="13"/>
      <c r="R214" s="64"/>
      <c r="S214" s="12"/>
      <c r="T214" s="15"/>
      <c r="U214" s="15"/>
      <c r="V214" s="15"/>
      <c r="W214" s="15"/>
      <c r="X214" s="18"/>
      <c r="Y214" s="18"/>
      <c r="Z214" s="18"/>
      <c r="AA214" s="36" t="str">
        <f t="shared" si="23"/>
        <v/>
      </c>
      <c r="AB214" s="1"/>
      <c r="AC214" s="1"/>
      <c r="AD214" s="1"/>
      <c r="AE214" s="1"/>
      <c r="AF214" s="1"/>
      <c r="AG214" s="1"/>
    </row>
    <row r="215" spans="1:33" ht="22.5" customHeight="1">
      <c r="A215" s="12"/>
      <c r="B215" s="14"/>
      <c r="C215" s="12"/>
      <c r="D215" s="94"/>
      <c r="E215" s="27"/>
      <c r="F215" s="27"/>
      <c r="G215" s="27"/>
      <c r="H215" s="101"/>
      <c r="I215" s="13"/>
      <c r="J215" s="12"/>
      <c r="K215" s="13"/>
      <c r="L215" s="13"/>
      <c r="M215" s="13"/>
      <c r="N215" s="13"/>
      <c r="O215" s="13"/>
      <c r="P215" s="12"/>
      <c r="Q215" s="13"/>
      <c r="R215" s="64"/>
      <c r="S215" s="12"/>
      <c r="T215" s="15"/>
      <c r="U215" s="15"/>
      <c r="V215" s="15"/>
      <c r="W215" s="15"/>
      <c r="X215" s="18"/>
      <c r="Y215" s="18"/>
      <c r="Z215" s="18"/>
      <c r="AA215" s="36" t="str">
        <f t="shared" si="23"/>
        <v/>
      </c>
      <c r="AB215" s="1"/>
      <c r="AC215" s="1"/>
      <c r="AD215" s="1"/>
      <c r="AE215" s="1"/>
      <c r="AF215" s="1"/>
      <c r="AG215" s="1"/>
    </row>
    <row r="216" spans="1:33" ht="22.5" customHeight="1">
      <c r="A216" s="39"/>
      <c r="B216" s="59"/>
      <c r="C216" s="39"/>
      <c r="D216" s="93"/>
      <c r="E216" s="27"/>
      <c r="F216" s="27"/>
      <c r="G216" s="27"/>
      <c r="H216" s="102"/>
      <c r="I216" s="61"/>
      <c r="J216" s="104"/>
      <c r="K216" s="61"/>
      <c r="L216" s="61"/>
      <c r="M216" s="61"/>
      <c r="N216" s="61"/>
      <c r="O216" s="61"/>
      <c r="P216" s="104"/>
      <c r="Q216" s="61"/>
      <c r="R216" s="46"/>
      <c r="S216" s="39"/>
      <c r="T216" s="45"/>
      <c r="U216" s="45"/>
      <c r="V216" s="45"/>
      <c r="W216" s="45"/>
      <c r="X216" s="60"/>
      <c r="Y216" s="60"/>
      <c r="Z216" s="60"/>
      <c r="AB216" s="1"/>
      <c r="AC216" s="1"/>
      <c r="AD216" s="1"/>
      <c r="AE216" s="1"/>
      <c r="AF216" s="1"/>
      <c r="AG216" s="1"/>
    </row>
    <row r="217" spans="1:33" customFormat="1" ht="22.5" customHeight="1">
      <c r="D217" s="95"/>
      <c r="E217" s="27"/>
      <c r="F217" s="27"/>
      <c r="G217" s="27"/>
      <c r="H217" s="103"/>
      <c r="I217" s="99"/>
      <c r="J217" s="99"/>
      <c r="K217" s="99"/>
      <c r="L217" s="99"/>
      <c r="M217" s="99"/>
      <c r="N217" s="99"/>
      <c r="O217" s="99"/>
      <c r="P217" s="99"/>
      <c r="Q217" s="99"/>
      <c r="R217" s="74"/>
      <c r="AA217" t="str">
        <f t="shared" ref="AA217:AA248" si="24">IF(AND(EvalPower(E217:G217)=EvalPower(H217:Q217), EvalPower(P217)=EvalPower(U217:W217)), "", IF(AND(EvalPower(E217:G217)&lt;&gt;EvalPower(H217:Q217), EvalPower(P217)&lt;&gt;EvalPower(U217:W217)), "NG Total and Power total both mistake", IF(EvalPower(E217:G217)&lt;&gt;EvalPower(H217:Q217), "TOTAL ERROR", "POWER CUT ERROR!")))</f>
        <v/>
      </c>
    </row>
    <row r="218" spans="1:33" customFormat="1" ht="22.5" customHeight="1">
      <c r="D218" s="95"/>
      <c r="E218" s="27"/>
      <c r="F218" s="27"/>
      <c r="G218" s="27"/>
      <c r="H218" s="103"/>
      <c r="I218" s="99"/>
      <c r="J218" s="99"/>
      <c r="K218" s="99"/>
      <c r="L218" s="99"/>
      <c r="M218" s="99"/>
      <c r="N218" s="99"/>
      <c r="O218" s="99"/>
      <c r="P218" s="99"/>
      <c r="Q218" s="99"/>
      <c r="R218" s="74"/>
      <c r="AA218" t="str">
        <f t="shared" si="24"/>
        <v/>
      </c>
    </row>
    <row r="219" spans="1:33" customFormat="1" ht="22.5" customHeight="1">
      <c r="D219" s="95"/>
      <c r="E219" s="27"/>
      <c r="F219" s="27"/>
      <c r="G219" s="27"/>
      <c r="H219" s="103"/>
      <c r="I219" s="99"/>
      <c r="J219" s="99"/>
      <c r="K219" s="99"/>
      <c r="L219" s="99"/>
      <c r="M219" s="99"/>
      <c r="N219" s="99"/>
      <c r="O219" s="99"/>
      <c r="P219" s="99"/>
      <c r="Q219" s="99"/>
      <c r="R219" s="74"/>
      <c r="AA219" t="str">
        <f t="shared" si="24"/>
        <v/>
      </c>
    </row>
    <row r="220" spans="1:33" customFormat="1" ht="22.5" customHeight="1">
      <c r="D220" s="95"/>
      <c r="E220" s="27"/>
      <c r="F220" s="27"/>
      <c r="G220" s="27"/>
      <c r="H220" s="103"/>
      <c r="I220" s="99"/>
      <c r="J220" s="99"/>
      <c r="K220" s="99"/>
      <c r="L220" s="99"/>
      <c r="M220" s="99"/>
      <c r="N220" s="99"/>
      <c r="O220" s="99"/>
      <c r="P220" s="99"/>
      <c r="Q220" s="99"/>
      <c r="R220" s="74"/>
      <c r="AA220" t="str">
        <f t="shared" si="24"/>
        <v/>
      </c>
    </row>
    <row r="221" spans="1:33" customFormat="1" ht="22.5" customHeight="1">
      <c r="D221" s="95"/>
      <c r="E221" s="27"/>
      <c r="F221" s="27"/>
      <c r="G221" s="27"/>
      <c r="H221" s="103"/>
      <c r="I221" s="99"/>
      <c r="J221" s="99"/>
      <c r="K221" s="99"/>
      <c r="L221" s="99"/>
      <c r="M221" s="99"/>
      <c r="N221" s="99"/>
      <c r="O221" s="99"/>
      <c r="P221" s="99"/>
      <c r="Q221" s="99"/>
      <c r="R221" s="74"/>
      <c r="AA221" t="str">
        <f t="shared" si="24"/>
        <v/>
      </c>
    </row>
    <row r="222" spans="1:33" customFormat="1" ht="22.5" customHeight="1">
      <c r="D222" s="95"/>
      <c r="E222" s="27"/>
      <c r="F222" s="27"/>
      <c r="G222" s="27"/>
      <c r="H222" s="103"/>
      <c r="I222" s="99"/>
      <c r="J222" s="99"/>
      <c r="K222" s="99"/>
      <c r="L222" s="99"/>
      <c r="M222" s="99"/>
      <c r="N222" s="99"/>
      <c r="O222" s="99"/>
      <c r="P222" s="99"/>
      <c r="Q222" s="99"/>
      <c r="R222" s="74"/>
      <c r="AA222" t="str">
        <f t="shared" si="24"/>
        <v/>
      </c>
    </row>
    <row r="223" spans="1:33" customFormat="1" ht="22.5" customHeight="1">
      <c r="D223" s="95"/>
      <c r="E223" s="27"/>
      <c r="F223" s="27"/>
      <c r="G223" s="27"/>
      <c r="H223" s="103"/>
      <c r="I223" s="99"/>
      <c r="J223" s="99"/>
      <c r="K223" s="99"/>
      <c r="L223" s="99"/>
      <c r="M223" s="99"/>
      <c r="N223" s="99"/>
      <c r="O223" s="99"/>
      <c r="P223" s="99"/>
      <c r="Q223" s="99"/>
      <c r="R223" s="74"/>
      <c r="AA223" t="str">
        <f t="shared" si="24"/>
        <v/>
      </c>
    </row>
    <row r="224" spans="1:33" customFormat="1" ht="22.5" customHeight="1">
      <c r="D224" s="95"/>
      <c r="E224" s="27"/>
      <c r="F224" s="27"/>
      <c r="G224" s="27"/>
      <c r="H224" s="103"/>
      <c r="I224" s="99"/>
      <c r="J224" s="99"/>
      <c r="K224" s="99"/>
      <c r="L224" s="99"/>
      <c r="M224" s="99"/>
      <c r="N224" s="99"/>
      <c r="O224" s="99"/>
      <c r="P224" s="99"/>
      <c r="Q224" s="99"/>
      <c r="R224" s="74"/>
      <c r="AA224" t="str">
        <f t="shared" si="24"/>
        <v/>
      </c>
    </row>
    <row r="225" spans="4:27" customFormat="1" ht="22.5" customHeight="1">
      <c r="D225" s="95"/>
      <c r="E225" s="27"/>
      <c r="F225" s="27"/>
      <c r="G225" s="27"/>
      <c r="H225" s="103"/>
      <c r="I225" s="99"/>
      <c r="J225" s="99"/>
      <c r="K225" s="99"/>
      <c r="L225" s="99"/>
      <c r="M225" s="99"/>
      <c r="N225" s="99"/>
      <c r="O225" s="99"/>
      <c r="P225" s="99"/>
      <c r="Q225" s="99"/>
      <c r="R225" s="74"/>
      <c r="AA225" t="str">
        <f t="shared" si="24"/>
        <v/>
      </c>
    </row>
    <row r="226" spans="4:27" customFormat="1" ht="22.5" customHeight="1">
      <c r="D226" s="95"/>
      <c r="E226" s="27"/>
      <c r="F226" s="27"/>
      <c r="G226" s="27"/>
      <c r="H226" s="103"/>
      <c r="I226" s="99"/>
      <c r="J226" s="99"/>
      <c r="K226" s="99"/>
      <c r="L226" s="99"/>
      <c r="M226" s="99"/>
      <c r="N226" s="99"/>
      <c r="O226" s="99"/>
      <c r="P226" s="99"/>
      <c r="Q226" s="99"/>
      <c r="R226" s="74"/>
      <c r="AA226" t="str">
        <f t="shared" si="24"/>
        <v/>
      </c>
    </row>
    <row r="227" spans="4:27" customFormat="1" ht="22.5" customHeight="1">
      <c r="D227" s="95"/>
      <c r="E227" s="27"/>
      <c r="F227" s="27"/>
      <c r="G227" s="27"/>
      <c r="H227" s="103"/>
      <c r="I227" s="99"/>
      <c r="J227" s="99"/>
      <c r="K227" s="99"/>
      <c r="L227" s="99"/>
      <c r="M227" s="99"/>
      <c r="N227" s="99"/>
      <c r="O227" s="99"/>
      <c r="P227" s="99"/>
      <c r="Q227" s="99"/>
      <c r="R227" s="74"/>
      <c r="AA227" t="str">
        <f t="shared" si="24"/>
        <v/>
      </c>
    </row>
    <row r="228" spans="4:27" customFormat="1" ht="22.5" customHeight="1">
      <c r="D228" s="95"/>
      <c r="E228" s="27"/>
      <c r="F228" s="27"/>
      <c r="G228" s="27"/>
      <c r="H228" s="103"/>
      <c r="I228" s="99"/>
      <c r="J228" s="99"/>
      <c r="K228" s="99"/>
      <c r="L228" s="99"/>
      <c r="M228" s="99"/>
      <c r="N228" s="99"/>
      <c r="O228" s="99"/>
      <c r="P228" s="99"/>
      <c r="Q228" s="99"/>
      <c r="R228" s="74"/>
      <c r="AA228" t="str">
        <f t="shared" si="24"/>
        <v/>
      </c>
    </row>
    <row r="229" spans="4:27" customFormat="1" ht="22.5" customHeight="1">
      <c r="D229" s="95"/>
      <c r="E229" s="27"/>
      <c r="F229" s="27"/>
      <c r="G229" s="27"/>
      <c r="H229" s="103"/>
      <c r="I229" s="99"/>
      <c r="J229" s="99"/>
      <c r="K229" s="99"/>
      <c r="L229" s="99"/>
      <c r="M229" s="99"/>
      <c r="N229" s="99"/>
      <c r="O229" s="99"/>
      <c r="P229" s="99"/>
      <c r="Q229" s="99"/>
      <c r="R229" s="74"/>
      <c r="AA229" t="str">
        <f t="shared" si="24"/>
        <v/>
      </c>
    </row>
    <row r="230" spans="4:27" customFormat="1" ht="22.5" customHeight="1">
      <c r="D230" s="95"/>
      <c r="E230" s="27"/>
      <c r="F230" s="27"/>
      <c r="G230" s="27"/>
      <c r="H230" s="103"/>
      <c r="I230" s="99"/>
      <c r="J230" s="99"/>
      <c r="K230" s="99"/>
      <c r="L230" s="99"/>
      <c r="M230" s="99"/>
      <c r="N230" s="99"/>
      <c r="O230" s="99"/>
      <c r="P230" s="99"/>
      <c r="Q230" s="99"/>
      <c r="R230" s="74"/>
      <c r="AA230" t="str">
        <f t="shared" si="24"/>
        <v/>
      </c>
    </row>
    <row r="231" spans="4:27" customFormat="1" ht="22.5" customHeight="1">
      <c r="D231" s="95"/>
      <c r="E231" s="27"/>
      <c r="F231" s="27"/>
      <c r="G231" s="27"/>
      <c r="H231" s="103"/>
      <c r="I231" s="99"/>
      <c r="J231" s="99"/>
      <c r="K231" s="99"/>
      <c r="L231" s="99"/>
      <c r="M231" s="99"/>
      <c r="N231" s="99"/>
      <c r="O231" s="99"/>
      <c r="P231" s="99"/>
      <c r="Q231" s="99"/>
      <c r="R231" s="74"/>
      <c r="AA231" t="str">
        <f t="shared" si="24"/>
        <v/>
      </c>
    </row>
    <row r="232" spans="4:27" customFormat="1" ht="22.5" customHeight="1">
      <c r="D232" s="95"/>
      <c r="E232" s="27"/>
      <c r="F232" s="27"/>
      <c r="G232" s="27"/>
      <c r="H232" s="103"/>
      <c r="I232" s="99"/>
      <c r="J232" s="99"/>
      <c r="K232" s="99"/>
      <c r="L232" s="99"/>
      <c r="M232" s="99"/>
      <c r="N232" s="99"/>
      <c r="O232" s="99"/>
      <c r="P232" s="99"/>
      <c r="Q232" s="99"/>
      <c r="R232" s="74"/>
      <c r="AA232" t="str">
        <f t="shared" si="24"/>
        <v/>
      </c>
    </row>
    <row r="233" spans="4:27" customFormat="1" ht="22.5" customHeight="1">
      <c r="D233" s="95"/>
      <c r="E233" s="27"/>
      <c r="F233" s="27"/>
      <c r="G233" s="27"/>
      <c r="H233" s="103"/>
      <c r="I233" s="99"/>
      <c r="J233" s="99"/>
      <c r="K233" s="99"/>
      <c r="L233" s="99"/>
      <c r="M233" s="99"/>
      <c r="N233" s="99"/>
      <c r="O233" s="99"/>
      <c r="P233" s="99"/>
      <c r="Q233" s="99"/>
      <c r="R233" s="74"/>
      <c r="AA233" t="str">
        <f t="shared" si="24"/>
        <v/>
      </c>
    </row>
    <row r="234" spans="4:27" customFormat="1" ht="22.5" customHeight="1">
      <c r="D234" s="95"/>
      <c r="E234" s="27"/>
      <c r="F234" s="27"/>
      <c r="G234" s="27"/>
      <c r="H234" s="103"/>
      <c r="I234" s="99"/>
      <c r="J234" s="99"/>
      <c r="K234" s="99"/>
      <c r="L234" s="99"/>
      <c r="M234" s="99"/>
      <c r="N234" s="99"/>
      <c r="O234" s="99"/>
      <c r="P234" s="99"/>
      <c r="Q234" s="99"/>
      <c r="R234" s="74"/>
      <c r="AA234" t="str">
        <f t="shared" si="24"/>
        <v/>
      </c>
    </row>
    <row r="235" spans="4:27" customFormat="1" ht="22.5" customHeight="1">
      <c r="D235" s="95"/>
      <c r="E235" s="27"/>
      <c r="F235" s="27"/>
      <c r="G235" s="27"/>
      <c r="H235" s="103"/>
      <c r="I235" s="99"/>
      <c r="J235" s="99"/>
      <c r="K235" s="99"/>
      <c r="L235" s="99"/>
      <c r="M235" s="99"/>
      <c r="N235" s="99"/>
      <c r="O235" s="99"/>
      <c r="P235" s="99"/>
      <c r="Q235" s="99"/>
      <c r="R235" s="74"/>
      <c r="AA235" t="str">
        <f t="shared" si="24"/>
        <v/>
      </c>
    </row>
    <row r="236" spans="4:27" customFormat="1" ht="22.5" customHeight="1">
      <c r="D236" s="95"/>
      <c r="E236" s="27"/>
      <c r="F236" s="27"/>
      <c r="G236" s="27"/>
      <c r="H236" s="103"/>
      <c r="I236" s="99"/>
      <c r="J236" s="99"/>
      <c r="K236" s="99"/>
      <c r="L236" s="99"/>
      <c r="M236" s="99"/>
      <c r="N236" s="99"/>
      <c r="O236" s="99"/>
      <c r="P236" s="99"/>
      <c r="Q236" s="99"/>
      <c r="R236" s="74"/>
      <c r="AA236" t="str">
        <f t="shared" si="24"/>
        <v/>
      </c>
    </row>
    <row r="237" spans="4:27" customFormat="1" ht="22.5" customHeight="1">
      <c r="D237" s="95"/>
      <c r="E237" s="27"/>
      <c r="F237" s="27"/>
      <c r="G237" s="27"/>
      <c r="H237" s="103"/>
      <c r="I237" s="99"/>
      <c r="J237" s="99"/>
      <c r="K237" s="99"/>
      <c r="L237" s="99"/>
      <c r="M237" s="99"/>
      <c r="N237" s="99"/>
      <c r="O237" s="99"/>
      <c r="P237" s="99"/>
      <c r="Q237" s="99"/>
      <c r="R237" s="74"/>
      <c r="AA237" t="str">
        <f t="shared" si="24"/>
        <v/>
      </c>
    </row>
    <row r="238" spans="4:27" customFormat="1" ht="22.5" customHeight="1">
      <c r="D238" s="95"/>
      <c r="E238" s="27"/>
      <c r="F238" s="27"/>
      <c r="G238" s="27"/>
      <c r="H238" s="103"/>
      <c r="I238" s="99"/>
      <c r="J238" s="99"/>
      <c r="K238" s="99"/>
      <c r="L238" s="99"/>
      <c r="M238" s="99"/>
      <c r="N238" s="99"/>
      <c r="O238" s="99"/>
      <c r="P238" s="99"/>
      <c r="Q238" s="99"/>
      <c r="R238" s="74"/>
      <c r="AA238" t="str">
        <f t="shared" si="24"/>
        <v/>
      </c>
    </row>
    <row r="239" spans="4:27" customFormat="1" ht="22.5" customHeight="1">
      <c r="D239" s="95"/>
      <c r="E239" s="27"/>
      <c r="F239" s="27"/>
      <c r="G239" s="27"/>
      <c r="H239" s="103"/>
      <c r="I239" s="99"/>
      <c r="J239" s="99"/>
      <c r="K239" s="99"/>
      <c r="L239" s="99"/>
      <c r="M239" s="99"/>
      <c r="N239" s="99"/>
      <c r="O239" s="99"/>
      <c r="P239" s="99"/>
      <c r="Q239" s="99"/>
      <c r="R239" s="74"/>
      <c r="AA239" t="str">
        <f t="shared" si="24"/>
        <v/>
      </c>
    </row>
    <row r="240" spans="4:27" customFormat="1" ht="22.5" customHeight="1">
      <c r="D240" s="95"/>
      <c r="E240" s="27"/>
      <c r="F240" s="27"/>
      <c r="G240" s="27"/>
      <c r="H240" s="103"/>
      <c r="I240" s="99"/>
      <c r="J240" s="99"/>
      <c r="K240" s="99"/>
      <c r="L240" s="99"/>
      <c r="M240" s="99"/>
      <c r="N240" s="99"/>
      <c r="O240" s="99"/>
      <c r="P240" s="99"/>
      <c r="Q240" s="99"/>
      <c r="R240" s="74"/>
      <c r="AA240" t="str">
        <f t="shared" si="24"/>
        <v/>
      </c>
    </row>
    <row r="241" spans="4:27" customFormat="1" ht="22.5" customHeight="1">
      <c r="D241" s="95"/>
      <c r="E241" s="27"/>
      <c r="F241" s="27"/>
      <c r="G241" s="27"/>
      <c r="H241" s="103"/>
      <c r="I241" s="99"/>
      <c r="J241" s="99"/>
      <c r="K241" s="99"/>
      <c r="L241" s="99"/>
      <c r="M241" s="99"/>
      <c r="N241" s="99"/>
      <c r="O241" s="99"/>
      <c r="P241" s="99"/>
      <c r="Q241" s="99"/>
      <c r="R241" s="74"/>
      <c r="AA241" t="str">
        <f t="shared" si="24"/>
        <v/>
      </c>
    </row>
    <row r="242" spans="4:27" customFormat="1" ht="22.5" customHeight="1">
      <c r="D242" s="95"/>
      <c r="E242" s="27"/>
      <c r="F242" s="27"/>
      <c r="G242" s="27"/>
      <c r="H242" s="103"/>
      <c r="I242" s="99"/>
      <c r="J242" s="99"/>
      <c r="K242" s="99"/>
      <c r="L242" s="99"/>
      <c r="M242" s="99"/>
      <c r="N242" s="99"/>
      <c r="O242" s="99"/>
      <c r="P242" s="99"/>
      <c r="Q242" s="99"/>
      <c r="R242" s="74"/>
      <c r="AA242" t="str">
        <f t="shared" si="24"/>
        <v/>
      </c>
    </row>
    <row r="243" spans="4:27" customFormat="1" ht="22.5" customHeight="1">
      <c r="D243" s="95"/>
      <c r="E243" s="27"/>
      <c r="F243" s="27"/>
      <c r="G243" s="27"/>
      <c r="H243" s="103"/>
      <c r="I243" s="99"/>
      <c r="J243" s="99"/>
      <c r="K243" s="99"/>
      <c r="L243" s="99"/>
      <c r="M243" s="99"/>
      <c r="N243" s="99"/>
      <c r="O243" s="99"/>
      <c r="P243" s="99"/>
      <c r="Q243" s="99"/>
      <c r="R243" s="74"/>
      <c r="AA243" t="str">
        <f t="shared" si="24"/>
        <v/>
      </c>
    </row>
    <row r="244" spans="4:27" customFormat="1" ht="22.5" customHeight="1">
      <c r="D244" s="95"/>
      <c r="E244" s="27"/>
      <c r="F244" s="27"/>
      <c r="G244" s="27"/>
      <c r="H244" s="103"/>
      <c r="I244" s="99"/>
      <c r="J244" s="99"/>
      <c r="K244" s="99"/>
      <c r="L244" s="99"/>
      <c r="M244" s="99"/>
      <c r="N244" s="99"/>
      <c r="O244" s="99"/>
      <c r="P244" s="99"/>
      <c r="Q244" s="99"/>
      <c r="R244" s="74"/>
      <c r="AA244" t="str">
        <f t="shared" si="24"/>
        <v/>
      </c>
    </row>
    <row r="245" spans="4:27" customFormat="1" ht="22.5" customHeight="1">
      <c r="D245" s="95"/>
      <c r="E245" s="27"/>
      <c r="F245" s="27"/>
      <c r="G245" s="27"/>
      <c r="H245" s="103"/>
      <c r="I245" s="99"/>
      <c r="J245" s="99"/>
      <c r="K245" s="99"/>
      <c r="L245" s="99"/>
      <c r="M245" s="99"/>
      <c r="N245" s="99"/>
      <c r="O245" s="99"/>
      <c r="P245" s="99"/>
      <c r="Q245" s="99"/>
      <c r="R245" s="74"/>
      <c r="AA245" t="str">
        <f t="shared" si="24"/>
        <v/>
      </c>
    </row>
    <row r="246" spans="4:27" customFormat="1" ht="22.5" customHeight="1">
      <c r="D246" s="95"/>
      <c r="E246" s="27"/>
      <c r="F246" s="27"/>
      <c r="G246" s="27"/>
      <c r="H246" s="103"/>
      <c r="I246" s="99"/>
      <c r="J246" s="99"/>
      <c r="K246" s="99"/>
      <c r="L246" s="99"/>
      <c r="M246" s="99"/>
      <c r="N246" s="99"/>
      <c r="O246" s="99"/>
      <c r="P246" s="99"/>
      <c r="Q246" s="99"/>
      <c r="R246" s="74"/>
      <c r="AA246" t="str">
        <f t="shared" si="24"/>
        <v/>
      </c>
    </row>
    <row r="247" spans="4:27" customFormat="1" ht="22.5" customHeight="1">
      <c r="D247" s="95"/>
      <c r="E247" s="27"/>
      <c r="F247" s="27"/>
      <c r="G247" s="27"/>
      <c r="H247" s="103"/>
      <c r="I247" s="99"/>
      <c r="J247" s="99"/>
      <c r="K247" s="99"/>
      <c r="L247" s="99"/>
      <c r="M247" s="99"/>
      <c r="N247" s="99"/>
      <c r="O247" s="99"/>
      <c r="P247" s="99"/>
      <c r="Q247" s="99"/>
      <c r="R247" s="74"/>
      <c r="AA247" t="str">
        <f t="shared" si="24"/>
        <v/>
      </c>
    </row>
    <row r="248" spans="4:27" customFormat="1" ht="22.5" customHeight="1">
      <c r="D248" s="95"/>
      <c r="E248" s="27"/>
      <c r="F248" s="27"/>
      <c r="G248" s="27"/>
      <c r="H248" s="103"/>
      <c r="I248" s="99"/>
      <c r="J248" s="99"/>
      <c r="K248" s="99"/>
      <c r="L248" s="99"/>
      <c r="M248" s="99"/>
      <c r="N248" s="99"/>
      <c r="O248" s="99"/>
      <c r="P248" s="99"/>
      <c r="Q248" s="99"/>
      <c r="R248" s="74"/>
      <c r="AA248" t="str">
        <f t="shared" si="24"/>
        <v/>
      </c>
    </row>
    <row r="249" spans="4:27" customFormat="1" ht="22.5" customHeight="1">
      <c r="D249" s="95"/>
      <c r="E249" s="27"/>
      <c r="F249" s="27"/>
      <c r="G249" s="27"/>
      <c r="H249" s="103"/>
      <c r="I249" s="99"/>
      <c r="J249" s="99"/>
      <c r="K249" s="99"/>
      <c r="L249" s="99"/>
      <c r="M249" s="99"/>
      <c r="N249" s="99"/>
      <c r="O249" s="99"/>
      <c r="P249" s="99"/>
      <c r="Q249" s="99"/>
      <c r="R249" s="74"/>
      <c r="AA249" t="str">
        <f t="shared" ref="AA249:AA270" si="25">IF(AND(EvalPower(E249:G249)=EvalPower(H249:Q249), EvalPower(P249)=EvalPower(U249:W249)), "", IF(AND(EvalPower(E249:G249)&lt;&gt;EvalPower(H249:Q249), EvalPower(P249)&lt;&gt;EvalPower(U249:W249)), "NG Total and Power total both mistake", IF(EvalPower(E249:G249)&lt;&gt;EvalPower(H249:Q249), "TOTAL ERROR", "POWER CUT ERROR!")))</f>
        <v/>
      </c>
    </row>
    <row r="250" spans="4:27" customFormat="1" ht="22.5" customHeight="1">
      <c r="D250" s="95"/>
      <c r="E250" s="27"/>
      <c r="F250" s="27"/>
      <c r="G250" s="27"/>
      <c r="H250" s="103"/>
      <c r="I250" s="99"/>
      <c r="J250" s="99"/>
      <c r="K250" s="99"/>
      <c r="L250" s="99"/>
      <c r="M250" s="99"/>
      <c r="N250" s="99"/>
      <c r="O250" s="99"/>
      <c r="P250" s="99"/>
      <c r="Q250" s="99"/>
      <c r="R250" s="74"/>
      <c r="AA250" t="str">
        <f t="shared" si="25"/>
        <v/>
      </c>
    </row>
    <row r="251" spans="4:27" customFormat="1" ht="22.5" customHeight="1">
      <c r="D251" s="95"/>
      <c r="E251" s="27"/>
      <c r="F251" s="27"/>
      <c r="G251" s="27"/>
      <c r="H251" s="103"/>
      <c r="I251" s="99"/>
      <c r="J251" s="99"/>
      <c r="K251" s="99"/>
      <c r="L251" s="99"/>
      <c r="M251" s="99"/>
      <c r="N251" s="99"/>
      <c r="O251" s="99"/>
      <c r="P251" s="99"/>
      <c r="Q251" s="99"/>
      <c r="R251" s="74"/>
      <c r="AA251" t="str">
        <f t="shared" si="25"/>
        <v/>
      </c>
    </row>
    <row r="252" spans="4:27" customFormat="1" ht="22.5" customHeight="1">
      <c r="D252" s="95"/>
      <c r="E252" s="27"/>
      <c r="F252" s="27"/>
      <c r="G252" s="27"/>
      <c r="H252" s="103"/>
      <c r="I252" s="99"/>
      <c r="J252" s="99"/>
      <c r="K252" s="99"/>
      <c r="L252" s="99"/>
      <c r="M252" s="99"/>
      <c r="N252" s="99"/>
      <c r="O252" s="99"/>
      <c r="P252" s="99"/>
      <c r="Q252" s="99"/>
      <c r="R252" s="74"/>
      <c r="AA252" t="str">
        <f t="shared" si="25"/>
        <v/>
      </c>
    </row>
    <row r="253" spans="4:27" customFormat="1" ht="22.5" customHeight="1">
      <c r="D253" s="95"/>
      <c r="E253" s="27"/>
      <c r="F253" s="27"/>
      <c r="G253" s="27"/>
      <c r="H253" s="103"/>
      <c r="I253" s="99"/>
      <c r="J253" s="99"/>
      <c r="K253" s="99"/>
      <c r="L253" s="99"/>
      <c r="M253" s="99"/>
      <c r="N253" s="99"/>
      <c r="O253" s="99"/>
      <c r="P253" s="99"/>
      <c r="Q253" s="99"/>
      <c r="R253" s="74"/>
      <c r="AA253" t="str">
        <f t="shared" si="25"/>
        <v/>
      </c>
    </row>
    <row r="254" spans="4:27" customFormat="1" ht="22.5" customHeight="1">
      <c r="D254" s="95"/>
      <c r="E254" s="27"/>
      <c r="F254" s="27"/>
      <c r="G254" s="27"/>
      <c r="H254" s="103"/>
      <c r="I254" s="99"/>
      <c r="J254" s="99"/>
      <c r="K254" s="99"/>
      <c r="L254" s="99"/>
      <c r="M254" s="99"/>
      <c r="N254" s="99"/>
      <c r="O254" s="99"/>
      <c r="P254" s="99"/>
      <c r="Q254" s="99"/>
      <c r="R254" s="74"/>
      <c r="AA254" t="str">
        <f t="shared" si="25"/>
        <v/>
      </c>
    </row>
    <row r="255" spans="4:27" customFormat="1" ht="22.5" customHeight="1">
      <c r="D255" s="95"/>
      <c r="E255" s="27"/>
      <c r="F255" s="27"/>
      <c r="G255" s="27"/>
      <c r="H255" s="103"/>
      <c r="I255" s="99"/>
      <c r="J255" s="99"/>
      <c r="K255" s="99"/>
      <c r="L255" s="99"/>
      <c r="M255" s="99"/>
      <c r="N255" s="99"/>
      <c r="O255" s="99"/>
      <c r="P255" s="99"/>
      <c r="Q255" s="99"/>
      <c r="R255" s="74"/>
      <c r="AA255" t="str">
        <f t="shared" si="25"/>
        <v/>
      </c>
    </row>
    <row r="256" spans="4:27" customFormat="1" ht="22.5" customHeight="1">
      <c r="D256" s="95"/>
      <c r="E256" s="27"/>
      <c r="F256" s="27"/>
      <c r="G256" s="27"/>
      <c r="H256" s="103"/>
      <c r="I256" s="99"/>
      <c r="J256" s="99"/>
      <c r="K256" s="99"/>
      <c r="L256" s="99"/>
      <c r="M256" s="99"/>
      <c r="N256" s="99"/>
      <c r="O256" s="99"/>
      <c r="P256" s="99"/>
      <c r="Q256" s="99"/>
      <c r="R256" s="74"/>
      <c r="AA256" t="str">
        <f t="shared" si="25"/>
        <v/>
      </c>
    </row>
    <row r="257" spans="4:27" customFormat="1" ht="22.5" customHeight="1">
      <c r="D257" s="95"/>
      <c r="E257" s="27"/>
      <c r="F257" s="27"/>
      <c r="G257" s="27"/>
      <c r="H257" s="103"/>
      <c r="I257" s="99"/>
      <c r="J257" s="99"/>
      <c r="K257" s="99"/>
      <c r="L257" s="99"/>
      <c r="M257" s="99"/>
      <c r="N257" s="99"/>
      <c r="O257" s="99"/>
      <c r="P257" s="99"/>
      <c r="Q257" s="99"/>
      <c r="R257" s="74"/>
      <c r="AA257" t="str">
        <f t="shared" si="25"/>
        <v/>
      </c>
    </row>
    <row r="258" spans="4:27" customFormat="1" ht="22.5" customHeight="1">
      <c r="D258" s="95"/>
      <c r="E258" s="27"/>
      <c r="F258" s="27"/>
      <c r="G258" s="27"/>
      <c r="H258" s="103"/>
      <c r="I258" s="99"/>
      <c r="J258" s="99"/>
      <c r="K258" s="99"/>
      <c r="L258" s="99"/>
      <c r="M258" s="99"/>
      <c r="N258" s="99"/>
      <c r="O258" s="99"/>
      <c r="P258" s="99"/>
      <c r="Q258" s="99"/>
      <c r="R258" s="74"/>
      <c r="AA258" t="str">
        <f t="shared" si="25"/>
        <v/>
      </c>
    </row>
    <row r="259" spans="4:27" customFormat="1" ht="22.5" customHeight="1">
      <c r="D259" s="95"/>
      <c r="E259" s="27"/>
      <c r="F259" s="27"/>
      <c r="G259" s="27"/>
      <c r="H259" s="103"/>
      <c r="I259" s="99"/>
      <c r="J259" s="99"/>
      <c r="K259" s="99"/>
      <c r="L259" s="99"/>
      <c r="M259" s="99"/>
      <c r="N259" s="99"/>
      <c r="O259" s="99"/>
      <c r="P259" s="99"/>
      <c r="Q259" s="99"/>
      <c r="R259" s="74"/>
      <c r="AA259" t="str">
        <f t="shared" si="25"/>
        <v/>
      </c>
    </row>
    <row r="260" spans="4:27" customFormat="1" ht="22.5" customHeight="1">
      <c r="D260" s="95"/>
      <c r="E260" s="27"/>
      <c r="F260" s="27"/>
      <c r="G260" s="27"/>
      <c r="H260" s="103"/>
      <c r="I260" s="99"/>
      <c r="J260" s="99"/>
      <c r="K260" s="99"/>
      <c r="L260" s="99"/>
      <c r="M260" s="99"/>
      <c r="N260" s="99"/>
      <c r="O260" s="99"/>
      <c r="P260" s="99"/>
      <c r="Q260" s="99"/>
      <c r="R260" s="74"/>
      <c r="AA260" t="str">
        <f t="shared" si="25"/>
        <v/>
      </c>
    </row>
    <row r="261" spans="4:27" customFormat="1" ht="22.5" customHeight="1">
      <c r="D261" s="95"/>
      <c r="E261" s="27"/>
      <c r="F261" s="27"/>
      <c r="G261" s="27"/>
      <c r="H261" s="103"/>
      <c r="I261" s="99"/>
      <c r="J261" s="99"/>
      <c r="K261" s="99"/>
      <c r="L261" s="99"/>
      <c r="M261" s="99"/>
      <c r="N261" s="99"/>
      <c r="O261" s="99"/>
      <c r="P261" s="99"/>
      <c r="Q261" s="99"/>
      <c r="R261" s="74"/>
      <c r="AA261" t="str">
        <f t="shared" si="25"/>
        <v/>
      </c>
    </row>
    <row r="262" spans="4:27" customFormat="1" ht="22.5" customHeight="1">
      <c r="D262" s="95"/>
      <c r="E262" s="27"/>
      <c r="F262" s="27"/>
      <c r="G262" s="27"/>
      <c r="H262" s="103"/>
      <c r="I262" s="99"/>
      <c r="J262" s="99"/>
      <c r="K262" s="99"/>
      <c r="L262" s="99"/>
      <c r="M262" s="99"/>
      <c r="N262" s="99"/>
      <c r="O262" s="99"/>
      <c r="P262" s="99"/>
      <c r="Q262" s="99"/>
      <c r="R262" s="74"/>
      <c r="AA262" t="str">
        <f t="shared" si="25"/>
        <v/>
      </c>
    </row>
    <row r="263" spans="4:27" customFormat="1" ht="22.5" customHeight="1">
      <c r="D263" s="95"/>
      <c r="E263" s="27"/>
      <c r="F263" s="27"/>
      <c r="G263" s="27"/>
      <c r="H263" s="103"/>
      <c r="I263" s="99"/>
      <c r="J263" s="99"/>
      <c r="K263" s="99"/>
      <c r="L263" s="99"/>
      <c r="M263" s="99"/>
      <c r="N263" s="99"/>
      <c r="O263" s="99"/>
      <c r="P263" s="99"/>
      <c r="Q263" s="99"/>
      <c r="R263" s="74"/>
      <c r="AA263" t="str">
        <f t="shared" si="25"/>
        <v/>
      </c>
    </row>
    <row r="264" spans="4:27" customFormat="1" ht="22.5" customHeight="1">
      <c r="D264" s="95"/>
      <c r="E264" s="27"/>
      <c r="F264" s="27"/>
      <c r="G264" s="27"/>
      <c r="H264" s="103"/>
      <c r="I264" s="99"/>
      <c r="J264" s="99"/>
      <c r="K264" s="99"/>
      <c r="L264" s="99"/>
      <c r="M264" s="99"/>
      <c r="N264" s="99"/>
      <c r="O264" s="99"/>
      <c r="P264" s="99"/>
      <c r="Q264" s="99"/>
      <c r="R264" s="74"/>
      <c r="AA264" t="str">
        <f t="shared" si="25"/>
        <v/>
      </c>
    </row>
    <row r="265" spans="4:27" customFormat="1" ht="22.5" customHeight="1">
      <c r="D265" s="95"/>
      <c r="E265" s="27"/>
      <c r="F265" s="27"/>
      <c r="G265" s="27"/>
      <c r="H265" s="103"/>
      <c r="I265" s="99"/>
      <c r="J265" s="99"/>
      <c r="K265" s="99"/>
      <c r="L265" s="99"/>
      <c r="M265" s="99"/>
      <c r="N265" s="99"/>
      <c r="O265" s="99"/>
      <c r="P265" s="99"/>
      <c r="Q265" s="99"/>
      <c r="R265" s="74"/>
      <c r="AA265" t="str">
        <f t="shared" si="25"/>
        <v/>
      </c>
    </row>
    <row r="266" spans="4:27" customFormat="1" ht="22.5" customHeight="1">
      <c r="D266" s="95"/>
      <c r="E266" s="27"/>
      <c r="F266" s="27"/>
      <c r="G266" s="27"/>
      <c r="H266" s="103"/>
      <c r="I266" s="99"/>
      <c r="J266" s="99"/>
      <c r="K266" s="99"/>
      <c r="L266" s="99"/>
      <c r="M266" s="99"/>
      <c r="N266" s="99"/>
      <c r="O266" s="99"/>
      <c r="P266" s="99"/>
      <c r="Q266" s="99"/>
      <c r="R266" s="74"/>
      <c r="AA266" t="str">
        <f t="shared" si="25"/>
        <v/>
      </c>
    </row>
    <row r="267" spans="4:27" customFormat="1" ht="22.5" customHeight="1">
      <c r="D267" s="95"/>
      <c r="E267" s="27"/>
      <c r="F267" s="27"/>
      <c r="G267" s="27"/>
      <c r="H267" s="103"/>
      <c r="I267" s="99"/>
      <c r="J267" s="99"/>
      <c r="K267" s="99"/>
      <c r="L267" s="99"/>
      <c r="M267" s="99"/>
      <c r="N267" s="99"/>
      <c r="O267" s="99"/>
      <c r="P267" s="99"/>
      <c r="Q267" s="99"/>
      <c r="R267" s="74"/>
      <c r="AA267" t="str">
        <f t="shared" si="25"/>
        <v/>
      </c>
    </row>
    <row r="268" spans="4:27" customFormat="1" ht="22.5" customHeight="1">
      <c r="D268" s="95"/>
      <c r="E268" s="27"/>
      <c r="F268" s="27"/>
      <c r="G268" s="27"/>
      <c r="H268" s="103"/>
      <c r="I268" s="99"/>
      <c r="J268" s="99"/>
      <c r="K268" s="99"/>
      <c r="L268" s="99"/>
      <c r="M268" s="99"/>
      <c r="N268" s="99"/>
      <c r="O268" s="99"/>
      <c r="P268" s="99"/>
      <c r="Q268" s="99"/>
      <c r="R268" s="74"/>
      <c r="AA268" t="str">
        <f t="shared" si="25"/>
        <v/>
      </c>
    </row>
    <row r="269" spans="4:27" customFormat="1" ht="22.5" customHeight="1">
      <c r="D269" s="95"/>
      <c r="E269" s="27"/>
      <c r="F269" s="27"/>
      <c r="G269" s="27"/>
      <c r="H269" s="103"/>
      <c r="I269" s="99"/>
      <c r="J269" s="99"/>
      <c r="K269" s="99"/>
      <c r="L269" s="99"/>
      <c r="M269" s="99"/>
      <c r="N269" s="99"/>
      <c r="O269" s="99"/>
      <c r="P269" s="99"/>
      <c r="Q269" s="99"/>
      <c r="R269" s="74"/>
      <c r="AA269" t="str">
        <f t="shared" si="25"/>
        <v/>
      </c>
    </row>
    <row r="270" spans="4:27" customFormat="1" ht="22.5" customHeight="1">
      <c r="D270" s="95"/>
      <c r="E270" s="27"/>
      <c r="F270" s="27"/>
      <c r="G270" s="27"/>
      <c r="H270" s="103"/>
      <c r="I270" s="99"/>
      <c r="J270" s="99"/>
      <c r="K270" s="99"/>
      <c r="L270" s="99"/>
      <c r="M270" s="99"/>
      <c r="N270" s="99"/>
      <c r="O270" s="99"/>
      <c r="P270" s="99"/>
      <c r="Q270" s="99"/>
      <c r="R270" s="74"/>
      <c r="AA270" t="str">
        <f t="shared" si="25"/>
        <v/>
      </c>
    </row>
    <row r="271" spans="4:27" customFormat="1" ht="22.5" customHeight="1">
      <c r="D271" s="95"/>
      <c r="H271" s="103"/>
      <c r="I271" s="99"/>
      <c r="J271" s="99"/>
      <c r="K271" s="99"/>
      <c r="L271" s="99"/>
      <c r="M271" s="99"/>
      <c r="N271" s="99"/>
      <c r="O271" s="99"/>
      <c r="P271" s="99"/>
      <c r="Q271" s="99"/>
      <c r="R271" s="74"/>
    </row>
    <row r="272" spans="4:27" customFormat="1" ht="22.5" customHeight="1">
      <c r="D272" s="95"/>
      <c r="H272" s="103"/>
      <c r="I272" s="99"/>
      <c r="J272" s="99"/>
      <c r="K272" s="99"/>
      <c r="L272" s="99"/>
      <c r="M272" s="99"/>
      <c r="N272" s="99"/>
      <c r="O272" s="99"/>
      <c r="P272" s="99"/>
      <c r="Q272" s="99"/>
      <c r="R272" s="74"/>
    </row>
    <row r="273" spans="4:18" customFormat="1" ht="22.5" customHeight="1">
      <c r="D273" s="95"/>
      <c r="H273" s="103"/>
      <c r="I273" s="99"/>
      <c r="J273" s="99"/>
      <c r="K273" s="99"/>
      <c r="L273" s="99"/>
      <c r="M273" s="99"/>
      <c r="N273" s="99"/>
      <c r="O273" s="99"/>
      <c r="P273" s="99"/>
      <c r="Q273" s="99"/>
      <c r="R273" s="74"/>
    </row>
    <row r="274" spans="4:18" customFormat="1" ht="22.5" customHeight="1">
      <c r="D274" s="95"/>
      <c r="H274" s="103"/>
      <c r="I274" s="99"/>
      <c r="J274" s="99"/>
      <c r="K274" s="99"/>
      <c r="L274" s="99"/>
      <c r="M274" s="99"/>
      <c r="N274" s="99"/>
      <c r="O274" s="99"/>
      <c r="P274" s="99"/>
      <c r="Q274" s="99"/>
      <c r="R274" s="74"/>
    </row>
    <row r="275" spans="4:18" customFormat="1" ht="22.5" customHeight="1">
      <c r="D275" s="95"/>
      <c r="H275" s="103"/>
      <c r="I275" s="99"/>
      <c r="J275" s="99"/>
      <c r="K275" s="99"/>
      <c r="L275" s="99"/>
      <c r="M275" s="99"/>
      <c r="N275" s="99"/>
      <c r="O275" s="99"/>
      <c r="P275" s="99"/>
      <c r="Q275" s="99"/>
      <c r="R275" s="74"/>
    </row>
    <row r="276" spans="4:18" customFormat="1" ht="22.5" customHeight="1">
      <c r="D276" s="95"/>
      <c r="H276" s="103"/>
      <c r="I276" s="99"/>
      <c r="J276" s="99"/>
      <c r="K276" s="99"/>
      <c r="L276" s="99"/>
      <c r="M276" s="99"/>
      <c r="N276" s="99"/>
      <c r="O276" s="99"/>
      <c r="P276" s="99"/>
      <c r="Q276" s="99"/>
      <c r="R276" s="74"/>
    </row>
    <row r="277" spans="4:18" customFormat="1" ht="22.5" customHeight="1">
      <c r="D277" s="95"/>
      <c r="H277" s="103"/>
      <c r="I277" s="99"/>
      <c r="J277" s="99"/>
      <c r="K277" s="99"/>
      <c r="L277" s="99"/>
      <c r="M277" s="99"/>
      <c r="N277" s="99"/>
      <c r="O277" s="99"/>
      <c r="P277" s="99"/>
      <c r="Q277" s="99"/>
      <c r="R277" s="74"/>
    </row>
    <row r="278" spans="4:18" customFormat="1" ht="22.5" customHeight="1">
      <c r="D278" s="95"/>
      <c r="H278" s="103"/>
      <c r="I278" s="99"/>
      <c r="J278" s="99"/>
      <c r="K278" s="99"/>
      <c r="L278" s="99"/>
      <c r="M278" s="99"/>
      <c r="N278" s="99"/>
      <c r="O278" s="99"/>
      <c r="P278" s="99"/>
      <c r="Q278" s="99"/>
      <c r="R278" s="74"/>
    </row>
    <row r="279" spans="4:18" customFormat="1" ht="22.5" customHeight="1">
      <c r="D279" s="95"/>
      <c r="H279" s="103"/>
      <c r="I279" s="99"/>
      <c r="J279" s="99"/>
      <c r="K279" s="99"/>
      <c r="L279" s="99"/>
      <c r="M279" s="99"/>
      <c r="N279" s="99"/>
      <c r="O279" s="99"/>
      <c r="P279" s="99"/>
      <c r="Q279" s="99"/>
      <c r="R279" s="74"/>
    </row>
    <row r="280" spans="4:18" customFormat="1" ht="22.5" customHeight="1">
      <c r="D280" s="95"/>
      <c r="H280" s="103"/>
      <c r="I280" s="99"/>
      <c r="J280" s="99"/>
      <c r="K280" s="99"/>
      <c r="L280" s="99"/>
      <c r="M280" s="99"/>
      <c r="N280" s="99"/>
      <c r="O280" s="99"/>
      <c r="P280" s="99"/>
      <c r="Q280" s="99"/>
      <c r="R280" s="74"/>
    </row>
    <row r="281" spans="4:18" customFormat="1" ht="22.5" customHeight="1">
      <c r="D281" s="95"/>
      <c r="H281" s="103"/>
      <c r="I281" s="99"/>
      <c r="J281" s="99"/>
      <c r="K281" s="99"/>
      <c r="L281" s="99"/>
      <c r="M281" s="99"/>
      <c r="N281" s="99"/>
      <c r="O281" s="99"/>
      <c r="P281" s="99"/>
      <c r="Q281" s="99"/>
      <c r="R281" s="74"/>
    </row>
    <row r="282" spans="4:18" customFormat="1" ht="22.5" customHeight="1">
      <c r="D282" s="95"/>
      <c r="H282" s="103"/>
      <c r="I282" s="99"/>
      <c r="J282" s="99"/>
      <c r="K282" s="99"/>
      <c r="L282" s="99"/>
      <c r="M282" s="99"/>
      <c r="N282" s="99"/>
      <c r="O282" s="99"/>
      <c r="P282" s="99"/>
      <c r="Q282" s="99"/>
      <c r="R282" s="74"/>
    </row>
    <row r="283" spans="4:18" customFormat="1" ht="22.5" customHeight="1">
      <c r="D283" s="95"/>
      <c r="H283" s="103"/>
      <c r="I283" s="99"/>
      <c r="J283" s="99"/>
      <c r="K283" s="99"/>
      <c r="L283" s="99"/>
      <c r="M283" s="99"/>
      <c r="N283" s="99"/>
      <c r="O283" s="99"/>
      <c r="P283" s="99"/>
      <c r="Q283" s="99"/>
      <c r="R283" s="74"/>
    </row>
    <row r="284" spans="4:18" customFormat="1" ht="22.5" customHeight="1">
      <c r="D284" s="95"/>
      <c r="H284" s="103"/>
      <c r="I284" s="99"/>
      <c r="J284" s="99"/>
      <c r="K284" s="99"/>
      <c r="L284" s="99"/>
      <c r="M284" s="99"/>
      <c r="N284" s="99"/>
      <c r="O284" s="99"/>
      <c r="P284" s="99"/>
      <c r="Q284" s="99"/>
      <c r="R284" s="74"/>
    </row>
    <row r="285" spans="4:18" customFormat="1" ht="22.5" customHeight="1">
      <c r="D285" s="95"/>
      <c r="H285" s="103"/>
      <c r="I285" s="99"/>
      <c r="J285" s="99"/>
      <c r="K285" s="99"/>
      <c r="L285" s="99"/>
      <c r="M285" s="99"/>
      <c r="N285" s="99"/>
      <c r="O285" s="99"/>
      <c r="P285" s="99"/>
      <c r="Q285" s="99"/>
      <c r="R285" s="74"/>
    </row>
    <row r="286" spans="4:18" customFormat="1" ht="22.5" customHeight="1">
      <c r="D286" s="95"/>
      <c r="H286" s="103"/>
      <c r="I286" s="99"/>
      <c r="J286" s="99"/>
      <c r="K286" s="99"/>
      <c r="L286" s="99"/>
      <c r="M286" s="99"/>
      <c r="N286" s="99"/>
      <c r="O286" s="99"/>
      <c r="P286" s="99"/>
      <c r="Q286" s="99"/>
      <c r="R286" s="74"/>
    </row>
    <row r="287" spans="4:18" customFormat="1" ht="22.5" customHeight="1">
      <c r="D287" s="95"/>
      <c r="H287" s="103"/>
      <c r="I287" s="99"/>
      <c r="J287" s="99"/>
      <c r="K287" s="99"/>
      <c r="L287" s="99"/>
      <c r="M287" s="99"/>
      <c r="N287" s="99"/>
      <c r="O287" s="99"/>
      <c r="P287" s="99"/>
      <c r="Q287" s="99"/>
      <c r="R287" s="74"/>
    </row>
    <row r="288" spans="4:18" customFormat="1" ht="22.5" customHeight="1">
      <c r="D288" s="95"/>
      <c r="H288" s="103"/>
      <c r="I288" s="99"/>
      <c r="J288" s="99"/>
      <c r="K288" s="99"/>
      <c r="L288" s="99"/>
      <c r="M288" s="99"/>
      <c r="N288" s="99"/>
      <c r="O288" s="99"/>
      <c r="P288" s="99"/>
      <c r="Q288" s="99"/>
      <c r="R288" s="74"/>
    </row>
    <row r="289" spans="4:18" customFormat="1" ht="22.5" customHeight="1">
      <c r="D289" s="95"/>
      <c r="H289" s="103"/>
      <c r="I289" s="99"/>
      <c r="J289" s="99"/>
      <c r="K289" s="99"/>
      <c r="L289" s="99"/>
      <c r="M289" s="99"/>
      <c r="N289" s="99"/>
      <c r="O289" s="99"/>
      <c r="P289" s="99"/>
      <c r="Q289" s="99"/>
      <c r="R289" s="74"/>
    </row>
    <row r="290" spans="4:18" customFormat="1" ht="22.5" customHeight="1">
      <c r="D290" s="95"/>
      <c r="H290" s="103"/>
      <c r="I290" s="99"/>
      <c r="J290" s="99"/>
      <c r="K290" s="99"/>
      <c r="L290" s="99"/>
      <c r="M290" s="99"/>
      <c r="N290" s="99"/>
      <c r="O290" s="99"/>
      <c r="P290" s="99"/>
      <c r="Q290" s="99"/>
      <c r="R290" s="74"/>
    </row>
    <row r="291" spans="4:18" customFormat="1" ht="22.5" customHeight="1">
      <c r="D291" s="95"/>
      <c r="H291" s="103"/>
      <c r="I291" s="99"/>
      <c r="J291" s="99"/>
      <c r="K291" s="99"/>
      <c r="L291" s="99"/>
      <c r="M291" s="99"/>
      <c r="N291" s="99"/>
      <c r="O291" s="99"/>
      <c r="P291" s="99"/>
      <c r="Q291" s="99"/>
      <c r="R291" s="74"/>
    </row>
    <row r="292" spans="4:18" customFormat="1" ht="22.5" customHeight="1">
      <c r="D292" s="95"/>
      <c r="H292" s="103"/>
      <c r="I292" s="99"/>
      <c r="J292" s="99"/>
      <c r="K292" s="99"/>
      <c r="L292" s="99"/>
      <c r="M292" s="99"/>
      <c r="N292" s="99"/>
      <c r="O292" s="99"/>
      <c r="P292" s="99"/>
      <c r="Q292" s="99"/>
      <c r="R292" s="74"/>
    </row>
    <row r="293" spans="4:18" customFormat="1" ht="22.5" customHeight="1">
      <c r="D293" s="95"/>
      <c r="H293" s="103"/>
      <c r="I293" s="99"/>
      <c r="J293" s="99"/>
      <c r="K293" s="99"/>
      <c r="L293" s="99"/>
      <c r="M293" s="99"/>
      <c r="N293" s="99"/>
      <c r="O293" s="99"/>
      <c r="P293" s="99"/>
      <c r="Q293" s="99"/>
      <c r="R293" s="74"/>
    </row>
    <row r="294" spans="4:18" customFormat="1" ht="22.5" customHeight="1">
      <c r="D294" s="95"/>
      <c r="H294" s="103"/>
      <c r="I294" s="99"/>
      <c r="J294" s="99"/>
      <c r="K294" s="99"/>
      <c r="L294" s="99"/>
      <c r="M294" s="99"/>
      <c r="N294" s="99"/>
      <c r="O294" s="99"/>
      <c r="P294" s="99"/>
      <c r="Q294" s="99"/>
      <c r="R294" s="74"/>
    </row>
    <row r="295" spans="4:18" customFormat="1" ht="22.5" customHeight="1">
      <c r="D295" s="95"/>
      <c r="H295" s="103"/>
      <c r="I295" s="99"/>
      <c r="J295" s="99"/>
      <c r="K295" s="99"/>
      <c r="L295" s="99"/>
      <c r="M295" s="99"/>
      <c r="N295" s="99"/>
      <c r="O295" s="99"/>
      <c r="P295" s="99"/>
      <c r="Q295" s="99"/>
      <c r="R295" s="74"/>
    </row>
    <row r="296" spans="4:18" customFormat="1" ht="22.5" customHeight="1">
      <c r="D296" s="95"/>
      <c r="H296" s="103"/>
      <c r="I296" s="99"/>
      <c r="J296" s="99"/>
      <c r="K296" s="99"/>
      <c r="L296" s="99"/>
      <c r="M296" s="99"/>
      <c r="N296" s="99"/>
      <c r="O296" s="99"/>
      <c r="P296" s="99"/>
      <c r="Q296" s="99"/>
      <c r="R296" s="74"/>
    </row>
    <row r="297" spans="4:18" customFormat="1" ht="22.5" customHeight="1">
      <c r="D297" s="95"/>
      <c r="H297" s="103"/>
      <c r="I297" s="99"/>
      <c r="J297" s="99"/>
      <c r="K297" s="99"/>
      <c r="L297" s="99"/>
      <c r="M297" s="99"/>
      <c r="N297" s="99"/>
      <c r="O297" s="99"/>
      <c r="P297" s="99"/>
      <c r="Q297" s="99"/>
      <c r="R297" s="74"/>
    </row>
    <row r="298" spans="4:18" customFormat="1" ht="22.5" customHeight="1">
      <c r="D298" s="95"/>
      <c r="H298" s="103"/>
      <c r="I298" s="99"/>
      <c r="J298" s="99"/>
      <c r="K298" s="99"/>
      <c r="L298" s="99"/>
      <c r="M298" s="99"/>
      <c r="N298" s="99"/>
      <c r="O298" s="99"/>
      <c r="P298" s="99"/>
      <c r="Q298" s="99"/>
      <c r="R298" s="74"/>
    </row>
    <row r="299" spans="4:18" customFormat="1" ht="22.5" customHeight="1">
      <c r="D299" s="95"/>
      <c r="H299" s="103"/>
      <c r="I299" s="99"/>
      <c r="J299" s="99"/>
      <c r="K299" s="99"/>
      <c r="L299" s="99"/>
      <c r="M299" s="99"/>
      <c r="N299" s="99"/>
      <c r="O299" s="99"/>
      <c r="P299" s="99"/>
      <c r="Q299" s="99"/>
      <c r="R299" s="74"/>
    </row>
    <row r="300" spans="4:18" customFormat="1" ht="22.5" customHeight="1">
      <c r="D300" s="95"/>
      <c r="H300" s="103"/>
      <c r="I300" s="99"/>
      <c r="J300" s="99"/>
      <c r="K300" s="99"/>
      <c r="L300" s="99"/>
      <c r="M300" s="99"/>
      <c r="N300" s="99"/>
      <c r="O300" s="99"/>
      <c r="P300" s="99"/>
      <c r="Q300" s="99"/>
      <c r="R300" s="74"/>
    </row>
    <row r="301" spans="4:18" customFormat="1" ht="22.5" customHeight="1">
      <c r="D301" s="95"/>
      <c r="H301" s="103"/>
      <c r="I301" s="99"/>
      <c r="J301" s="99"/>
      <c r="K301" s="99"/>
      <c r="L301" s="99"/>
      <c r="M301" s="99"/>
      <c r="N301" s="99"/>
      <c r="O301" s="99"/>
      <c r="P301" s="99"/>
      <c r="Q301" s="99"/>
      <c r="R301" s="74"/>
    </row>
    <row r="302" spans="4:18" customFormat="1" ht="22.5" customHeight="1">
      <c r="D302" s="95"/>
      <c r="H302" s="103"/>
      <c r="I302" s="99"/>
      <c r="J302" s="99"/>
      <c r="K302" s="99"/>
      <c r="L302" s="99"/>
      <c r="M302" s="99"/>
      <c r="N302" s="99"/>
      <c r="O302" s="99"/>
      <c r="P302" s="99"/>
      <c r="Q302" s="99"/>
      <c r="R302" s="74"/>
    </row>
    <row r="303" spans="4:18" customFormat="1" ht="22.5" customHeight="1">
      <c r="D303" s="95"/>
      <c r="H303" s="103"/>
      <c r="I303" s="99"/>
      <c r="J303" s="99"/>
      <c r="K303" s="99"/>
      <c r="L303" s="99"/>
      <c r="M303" s="99"/>
      <c r="N303" s="99"/>
      <c r="O303" s="99"/>
      <c r="P303" s="99"/>
      <c r="Q303" s="99"/>
      <c r="R303" s="74"/>
    </row>
    <row r="304" spans="4:18" customFormat="1" ht="22.5" customHeight="1">
      <c r="D304" s="95"/>
      <c r="H304" s="103"/>
      <c r="I304" s="99"/>
      <c r="J304" s="99"/>
      <c r="K304" s="99"/>
      <c r="L304" s="99"/>
      <c r="M304" s="99"/>
      <c r="N304" s="99"/>
      <c r="O304" s="99"/>
      <c r="P304" s="99"/>
      <c r="Q304" s="99"/>
      <c r="R304" s="74"/>
    </row>
    <row r="305" spans="4:18" customFormat="1" ht="22.5" customHeight="1">
      <c r="D305" s="95"/>
      <c r="H305" s="103"/>
      <c r="I305" s="99"/>
      <c r="J305" s="99"/>
      <c r="K305" s="99"/>
      <c r="L305" s="99"/>
      <c r="M305" s="99"/>
      <c r="N305" s="99"/>
      <c r="O305" s="99"/>
      <c r="P305" s="99"/>
      <c r="Q305" s="99"/>
      <c r="R305" s="74"/>
    </row>
    <row r="306" spans="4:18" customFormat="1" ht="22.5" customHeight="1">
      <c r="D306" s="95"/>
      <c r="H306" s="103"/>
      <c r="I306" s="99"/>
      <c r="J306" s="99"/>
      <c r="K306" s="99"/>
      <c r="L306" s="99"/>
      <c r="M306" s="99"/>
      <c r="N306" s="99"/>
      <c r="O306" s="99"/>
      <c r="P306" s="99"/>
      <c r="Q306" s="99"/>
      <c r="R306" s="74"/>
    </row>
    <row r="307" spans="4:18" customFormat="1" ht="22.5" customHeight="1">
      <c r="D307" s="95"/>
      <c r="H307" s="103"/>
      <c r="I307" s="99"/>
      <c r="J307" s="99"/>
      <c r="K307" s="99"/>
      <c r="L307" s="99"/>
      <c r="M307" s="99"/>
      <c r="N307" s="99"/>
      <c r="O307" s="99"/>
      <c r="P307" s="99"/>
      <c r="Q307" s="99"/>
      <c r="R307" s="74"/>
    </row>
    <row r="308" spans="4:18" customFormat="1" ht="22.5" customHeight="1">
      <c r="D308" s="95"/>
      <c r="H308" s="103"/>
      <c r="I308" s="99"/>
      <c r="J308" s="99"/>
      <c r="K308" s="99"/>
      <c r="L308" s="99"/>
      <c r="M308" s="99"/>
      <c r="N308" s="99"/>
      <c r="O308" s="99"/>
      <c r="P308" s="99"/>
      <c r="Q308" s="99"/>
      <c r="R308" s="74"/>
    </row>
    <row r="309" spans="4:18" customFormat="1" ht="22.5" customHeight="1">
      <c r="D309" s="95"/>
      <c r="H309" s="103"/>
      <c r="I309" s="99"/>
      <c r="J309" s="99"/>
      <c r="K309" s="99"/>
      <c r="L309" s="99"/>
      <c r="M309" s="99"/>
      <c r="N309" s="99"/>
      <c r="O309" s="99"/>
      <c r="P309" s="99"/>
      <c r="Q309" s="99"/>
      <c r="R309" s="74"/>
    </row>
    <row r="310" spans="4:18" customFormat="1" ht="22.5" customHeight="1">
      <c r="D310" s="95"/>
      <c r="H310" s="103"/>
      <c r="I310" s="99"/>
      <c r="J310" s="99"/>
      <c r="K310" s="99"/>
      <c r="L310" s="99"/>
      <c r="M310" s="99"/>
      <c r="N310" s="99"/>
      <c r="O310" s="99"/>
      <c r="P310" s="99"/>
      <c r="Q310" s="99"/>
      <c r="R310" s="74"/>
    </row>
    <row r="311" spans="4:18" customFormat="1" ht="22.5" customHeight="1">
      <c r="D311" s="95"/>
      <c r="H311" s="103"/>
      <c r="I311" s="99"/>
      <c r="J311" s="99"/>
      <c r="K311" s="99"/>
      <c r="L311" s="99"/>
      <c r="M311" s="99"/>
      <c r="N311" s="99"/>
      <c r="O311" s="99"/>
      <c r="P311" s="99"/>
      <c r="Q311" s="99"/>
      <c r="R311" s="74"/>
    </row>
    <row r="312" spans="4:18" customFormat="1" ht="22.5" customHeight="1">
      <c r="D312" s="95"/>
      <c r="H312" s="103"/>
      <c r="I312" s="99"/>
      <c r="J312" s="99"/>
      <c r="K312" s="99"/>
      <c r="L312" s="99"/>
      <c r="M312" s="99"/>
      <c r="N312" s="99"/>
      <c r="O312" s="99"/>
      <c r="P312" s="99"/>
      <c r="Q312" s="99"/>
      <c r="R312" s="74"/>
    </row>
    <row r="313" spans="4:18" customFormat="1" ht="22.5" customHeight="1">
      <c r="D313" s="95"/>
      <c r="H313" s="103"/>
      <c r="I313" s="99"/>
      <c r="J313" s="99"/>
      <c r="K313" s="99"/>
      <c r="L313" s="99"/>
      <c r="M313" s="99"/>
      <c r="N313" s="99"/>
      <c r="O313" s="99"/>
      <c r="P313" s="99"/>
      <c r="Q313" s="99"/>
      <c r="R313" s="74"/>
    </row>
    <row r="314" spans="4:18" customFormat="1" ht="22.5" customHeight="1">
      <c r="D314" s="95"/>
      <c r="H314" s="103"/>
      <c r="I314" s="99"/>
      <c r="J314" s="99"/>
      <c r="K314" s="99"/>
      <c r="L314" s="99"/>
      <c r="M314" s="99"/>
      <c r="N314" s="99"/>
      <c r="O314" s="99"/>
      <c r="P314" s="99"/>
      <c r="Q314" s="99"/>
      <c r="R314" s="74"/>
    </row>
    <row r="315" spans="4:18" customFormat="1" ht="22.5" customHeight="1">
      <c r="D315" s="95"/>
      <c r="H315" s="103"/>
      <c r="I315" s="99"/>
      <c r="J315" s="99"/>
      <c r="K315" s="99"/>
      <c r="L315" s="99"/>
      <c r="M315" s="99"/>
      <c r="N315" s="99"/>
      <c r="O315" s="99"/>
      <c r="P315" s="99"/>
      <c r="Q315" s="99"/>
      <c r="R315" s="74"/>
    </row>
    <row r="316" spans="4:18" customFormat="1" ht="22.5" customHeight="1">
      <c r="D316" s="95"/>
      <c r="H316" s="103"/>
      <c r="I316" s="99"/>
      <c r="J316" s="99"/>
      <c r="K316" s="99"/>
      <c r="L316" s="99"/>
      <c r="M316" s="99"/>
      <c r="N316" s="99"/>
      <c r="O316" s="99"/>
      <c r="P316" s="99"/>
      <c r="Q316" s="99"/>
      <c r="R316" s="74"/>
    </row>
    <row r="317" spans="4:18" customFormat="1" ht="22.5" customHeight="1">
      <c r="D317" s="95"/>
      <c r="H317" s="103"/>
      <c r="I317" s="99"/>
      <c r="J317" s="99"/>
      <c r="K317" s="99"/>
      <c r="L317" s="99"/>
      <c r="M317" s="99"/>
      <c r="N317" s="99"/>
      <c r="O317" s="99"/>
      <c r="P317" s="99"/>
      <c r="Q317" s="99"/>
      <c r="R317" s="74"/>
    </row>
    <row r="318" spans="4:18" customFormat="1" ht="22.5" customHeight="1">
      <c r="D318" s="95"/>
      <c r="H318" s="103"/>
      <c r="I318" s="99"/>
      <c r="J318" s="99"/>
      <c r="K318" s="99"/>
      <c r="L318" s="99"/>
      <c r="M318" s="99"/>
      <c r="N318" s="99"/>
      <c r="O318" s="99"/>
      <c r="P318" s="99"/>
      <c r="Q318" s="99"/>
      <c r="R318" s="74"/>
    </row>
    <row r="319" spans="4:18" customFormat="1" ht="22.5" customHeight="1">
      <c r="D319" s="95"/>
      <c r="H319" s="103"/>
      <c r="I319" s="99"/>
      <c r="J319" s="99"/>
      <c r="K319" s="99"/>
      <c r="L319" s="99"/>
      <c r="M319" s="99"/>
      <c r="N319" s="99"/>
      <c r="O319" s="99"/>
      <c r="P319" s="99"/>
      <c r="Q319" s="99"/>
      <c r="R319" s="74"/>
    </row>
    <row r="320" spans="4:18" customFormat="1" ht="22.5" customHeight="1">
      <c r="D320" s="95"/>
      <c r="H320" s="103"/>
      <c r="I320" s="99"/>
      <c r="J320" s="99"/>
      <c r="K320" s="99"/>
      <c r="L320" s="99"/>
      <c r="M320" s="99"/>
      <c r="N320" s="99"/>
      <c r="O320" s="99"/>
      <c r="P320" s="99"/>
      <c r="Q320" s="99"/>
      <c r="R320" s="74"/>
    </row>
    <row r="321" spans="4:18" customFormat="1" ht="22.5" customHeight="1">
      <c r="D321" s="95"/>
      <c r="H321" s="103"/>
      <c r="I321" s="99"/>
      <c r="J321" s="99"/>
      <c r="K321" s="99"/>
      <c r="L321" s="99"/>
      <c r="M321" s="99"/>
      <c r="N321" s="99"/>
      <c r="O321" s="99"/>
      <c r="P321" s="99"/>
      <c r="Q321" s="99"/>
      <c r="R321" s="74"/>
    </row>
    <row r="322" spans="4:18" customFormat="1" ht="22.5" customHeight="1">
      <c r="D322" s="95"/>
      <c r="H322" s="103"/>
      <c r="I322" s="99"/>
      <c r="J322" s="99"/>
      <c r="K322" s="99"/>
      <c r="L322" s="99"/>
      <c r="M322" s="99"/>
      <c r="N322" s="99"/>
      <c r="O322" s="99"/>
      <c r="P322" s="99"/>
      <c r="Q322" s="99"/>
      <c r="R322" s="74"/>
    </row>
    <row r="323" spans="4:18" customFormat="1" ht="22.5" customHeight="1">
      <c r="D323" s="95"/>
      <c r="H323" s="103"/>
      <c r="I323" s="99"/>
      <c r="J323" s="99"/>
      <c r="K323" s="99"/>
      <c r="L323" s="99"/>
      <c r="M323" s="99"/>
      <c r="N323" s="99"/>
      <c r="O323" s="99"/>
      <c r="P323" s="99"/>
      <c r="Q323" s="99"/>
      <c r="R323" s="74"/>
    </row>
    <row r="324" spans="4:18" customFormat="1" ht="22.5" customHeight="1">
      <c r="D324" s="95"/>
      <c r="H324" s="103"/>
      <c r="I324" s="99"/>
      <c r="J324" s="99"/>
      <c r="K324" s="99"/>
      <c r="L324" s="99"/>
      <c r="M324" s="99"/>
      <c r="N324" s="99"/>
      <c r="O324" s="99"/>
      <c r="P324" s="99"/>
      <c r="Q324" s="99"/>
      <c r="R324" s="74"/>
    </row>
    <row r="325" spans="4:18" customFormat="1" ht="22.5" customHeight="1">
      <c r="D325" s="95"/>
      <c r="H325" s="103"/>
      <c r="I325" s="99"/>
      <c r="J325" s="99"/>
      <c r="K325" s="99"/>
      <c r="L325" s="99"/>
      <c r="M325" s="99"/>
      <c r="N325" s="99"/>
      <c r="O325" s="99"/>
      <c r="P325" s="99"/>
      <c r="Q325" s="99"/>
      <c r="R325" s="74"/>
    </row>
    <row r="326" spans="4:18" customFormat="1" ht="22.5" customHeight="1">
      <c r="D326" s="95"/>
      <c r="H326" s="103"/>
      <c r="I326" s="99"/>
      <c r="J326" s="99"/>
      <c r="K326" s="99"/>
      <c r="L326" s="99"/>
      <c r="M326" s="99"/>
      <c r="N326" s="99"/>
      <c r="O326" s="99"/>
      <c r="P326" s="99"/>
      <c r="Q326" s="99"/>
      <c r="R326" s="74"/>
    </row>
    <row r="327" spans="4:18" customFormat="1" ht="22.5" customHeight="1">
      <c r="D327" s="95"/>
      <c r="H327" s="103"/>
      <c r="I327" s="99"/>
      <c r="J327" s="99"/>
      <c r="K327" s="99"/>
      <c r="L327" s="99"/>
      <c r="M327" s="99"/>
      <c r="N327" s="99"/>
      <c r="O327" s="99"/>
      <c r="P327" s="99"/>
      <c r="Q327" s="99"/>
      <c r="R327" s="74"/>
    </row>
    <row r="328" spans="4:18" customFormat="1" ht="22.5" customHeight="1">
      <c r="D328" s="95"/>
      <c r="H328" s="103"/>
      <c r="I328" s="99"/>
      <c r="J328" s="99"/>
      <c r="K328" s="99"/>
      <c r="L328" s="99"/>
      <c r="M328" s="99"/>
      <c r="N328" s="99"/>
      <c r="O328" s="99"/>
      <c r="P328" s="99"/>
      <c r="Q328" s="99"/>
      <c r="R328" s="74"/>
    </row>
    <row r="329" spans="4:18" customFormat="1" ht="22.5" customHeight="1">
      <c r="D329" s="95"/>
      <c r="H329" s="103"/>
      <c r="I329" s="99"/>
      <c r="J329" s="99"/>
      <c r="K329" s="99"/>
      <c r="L329" s="99"/>
      <c r="M329" s="99"/>
      <c r="N329" s="99"/>
      <c r="O329" s="99"/>
      <c r="P329" s="99"/>
      <c r="Q329" s="99"/>
      <c r="R329" s="74"/>
    </row>
    <row r="330" spans="4:18" customFormat="1" ht="22.5" customHeight="1">
      <c r="D330" s="95"/>
      <c r="H330" s="103"/>
      <c r="I330" s="99"/>
      <c r="J330" s="99"/>
      <c r="K330" s="99"/>
      <c r="L330" s="99"/>
      <c r="M330" s="99"/>
      <c r="N330" s="99"/>
      <c r="O330" s="99"/>
      <c r="P330" s="99"/>
      <c r="Q330" s="99"/>
      <c r="R330" s="74"/>
    </row>
    <row r="331" spans="4:18" customFormat="1" ht="22.5" customHeight="1">
      <c r="D331" s="95"/>
      <c r="H331" s="103"/>
      <c r="I331" s="99"/>
      <c r="J331" s="99"/>
      <c r="K331" s="99"/>
      <c r="L331" s="99"/>
      <c r="M331" s="99"/>
      <c r="N331" s="99"/>
      <c r="O331" s="99"/>
      <c r="P331" s="99"/>
      <c r="Q331" s="99"/>
      <c r="R331" s="74"/>
    </row>
    <row r="332" spans="4:18" customFormat="1" ht="22.5" customHeight="1">
      <c r="D332" s="95"/>
      <c r="H332" s="103"/>
      <c r="I332" s="99"/>
      <c r="J332" s="99"/>
      <c r="K332" s="99"/>
      <c r="L332" s="99"/>
      <c r="M332" s="99"/>
      <c r="N332" s="99"/>
      <c r="O332" s="99"/>
      <c r="P332" s="99"/>
      <c r="Q332" s="99"/>
      <c r="R332" s="74"/>
    </row>
    <row r="333" spans="4:18" customFormat="1" ht="22.5" customHeight="1">
      <c r="D333" s="95"/>
      <c r="H333" s="103"/>
      <c r="I333" s="99"/>
      <c r="J333" s="99"/>
      <c r="K333" s="99"/>
      <c r="L333" s="99"/>
      <c r="M333" s="99"/>
      <c r="N333" s="99"/>
      <c r="O333" s="99"/>
      <c r="P333" s="99"/>
      <c r="Q333" s="99"/>
      <c r="R333" s="74"/>
    </row>
    <row r="334" spans="4:18" customFormat="1" ht="22.5" customHeight="1">
      <c r="D334" s="95"/>
      <c r="H334" s="103"/>
      <c r="I334" s="99"/>
      <c r="J334" s="99"/>
      <c r="K334" s="99"/>
      <c r="L334" s="99"/>
      <c r="M334" s="99"/>
      <c r="N334" s="99"/>
      <c r="O334" s="99"/>
      <c r="P334" s="99"/>
      <c r="Q334" s="99"/>
      <c r="R334" s="74"/>
    </row>
    <row r="335" spans="4:18" customFormat="1" ht="22.5" customHeight="1">
      <c r="D335" s="95"/>
      <c r="H335" s="103"/>
      <c r="I335" s="99"/>
      <c r="J335" s="99"/>
      <c r="K335" s="99"/>
      <c r="L335" s="99"/>
      <c r="M335" s="99"/>
      <c r="N335" s="99"/>
      <c r="O335" s="99"/>
      <c r="P335" s="99"/>
      <c r="Q335" s="99"/>
      <c r="R335" s="74"/>
    </row>
    <row r="336" spans="4:18" customFormat="1" ht="22.5" customHeight="1">
      <c r="D336" s="95"/>
      <c r="H336" s="103"/>
      <c r="I336" s="99"/>
      <c r="J336" s="99"/>
      <c r="K336" s="99"/>
      <c r="L336" s="99"/>
      <c r="M336" s="99"/>
      <c r="N336" s="99"/>
      <c r="O336" s="99"/>
      <c r="P336" s="99"/>
      <c r="Q336" s="99"/>
      <c r="R336" s="74"/>
    </row>
    <row r="337" spans="4:18" customFormat="1" ht="22.5" customHeight="1">
      <c r="D337" s="95"/>
      <c r="H337" s="103"/>
      <c r="I337" s="99"/>
      <c r="J337" s="99"/>
      <c r="K337" s="99"/>
      <c r="L337" s="99"/>
      <c r="M337" s="99"/>
      <c r="N337" s="99"/>
      <c r="O337" s="99"/>
      <c r="P337" s="99"/>
      <c r="Q337" s="99"/>
      <c r="R337" s="74"/>
    </row>
    <row r="338" spans="4:18" customFormat="1" ht="22.5" customHeight="1">
      <c r="D338" s="95"/>
      <c r="H338" s="103"/>
      <c r="I338" s="99"/>
      <c r="J338" s="99"/>
      <c r="K338" s="99"/>
      <c r="L338" s="99"/>
      <c r="M338" s="99"/>
      <c r="N338" s="99"/>
      <c r="O338" s="99"/>
      <c r="P338" s="99"/>
      <c r="Q338" s="99"/>
      <c r="R338" s="74"/>
    </row>
    <row r="339" spans="4:18" customFormat="1" ht="22.5" customHeight="1">
      <c r="D339" s="95"/>
      <c r="H339" s="103"/>
      <c r="I339" s="99"/>
      <c r="J339" s="99"/>
      <c r="K339" s="99"/>
      <c r="L339" s="99"/>
      <c r="M339" s="99"/>
      <c r="N339" s="99"/>
      <c r="O339" s="99"/>
      <c r="P339" s="99"/>
      <c r="Q339" s="99"/>
      <c r="R339" s="74"/>
    </row>
    <row r="340" spans="4:18" customFormat="1" ht="22.5" customHeight="1">
      <c r="D340" s="95"/>
      <c r="H340" s="103"/>
      <c r="I340" s="99"/>
      <c r="J340" s="99"/>
      <c r="K340" s="99"/>
      <c r="L340" s="99"/>
      <c r="M340" s="99"/>
      <c r="N340" s="99"/>
      <c r="O340" s="99"/>
      <c r="P340" s="99"/>
      <c r="Q340" s="99"/>
      <c r="R340" s="74"/>
    </row>
    <row r="341" spans="4:18" customFormat="1" ht="22.5" customHeight="1">
      <c r="D341" s="95"/>
      <c r="H341" s="103"/>
      <c r="I341" s="99"/>
      <c r="J341" s="99"/>
      <c r="K341" s="99"/>
      <c r="L341" s="99"/>
      <c r="M341" s="99"/>
      <c r="N341" s="99"/>
      <c r="O341" s="99"/>
      <c r="P341" s="99"/>
      <c r="Q341" s="99"/>
      <c r="R341" s="74"/>
    </row>
    <row r="342" spans="4:18" customFormat="1" ht="22.5" customHeight="1">
      <c r="D342" s="95"/>
      <c r="H342" s="103"/>
      <c r="I342" s="99"/>
      <c r="J342" s="99"/>
      <c r="K342" s="99"/>
      <c r="L342" s="99"/>
      <c r="M342" s="99"/>
      <c r="N342" s="99"/>
      <c r="O342" s="99"/>
      <c r="P342" s="99"/>
      <c r="Q342" s="99"/>
      <c r="R342" s="74"/>
    </row>
    <row r="343" spans="4:18" customFormat="1" ht="22.5" customHeight="1">
      <c r="D343" s="95"/>
      <c r="H343" s="103"/>
      <c r="I343" s="99"/>
      <c r="J343" s="99"/>
      <c r="K343" s="99"/>
      <c r="L343" s="99"/>
      <c r="M343" s="99"/>
      <c r="N343" s="99"/>
      <c r="O343" s="99"/>
      <c r="P343" s="99"/>
      <c r="Q343" s="99"/>
      <c r="R343" s="74"/>
    </row>
    <row r="344" spans="4:18" customFormat="1" ht="22.5" customHeight="1">
      <c r="D344" s="95"/>
      <c r="H344" s="103"/>
      <c r="I344" s="99"/>
      <c r="J344" s="99"/>
      <c r="K344" s="99"/>
      <c r="L344" s="99"/>
      <c r="M344" s="99"/>
      <c r="N344" s="99"/>
      <c r="O344" s="99"/>
      <c r="P344" s="99"/>
      <c r="Q344" s="99"/>
      <c r="R344" s="74"/>
    </row>
    <row r="345" spans="4:18" customFormat="1" ht="22.5" customHeight="1">
      <c r="D345" s="95"/>
      <c r="H345" s="103"/>
      <c r="I345" s="99"/>
      <c r="J345" s="99"/>
      <c r="K345" s="99"/>
      <c r="L345" s="99"/>
      <c r="M345" s="99"/>
      <c r="N345" s="99"/>
      <c r="O345" s="99"/>
      <c r="P345" s="99"/>
      <c r="Q345" s="99"/>
      <c r="R345" s="74"/>
    </row>
    <row r="346" spans="4:18" customFormat="1" ht="22.5" customHeight="1">
      <c r="D346" s="95"/>
      <c r="H346" s="103"/>
      <c r="I346" s="99"/>
      <c r="J346" s="99"/>
      <c r="K346" s="99"/>
      <c r="L346" s="99"/>
      <c r="M346" s="99"/>
      <c r="N346" s="99"/>
      <c r="O346" s="99"/>
      <c r="P346" s="99"/>
      <c r="Q346" s="99"/>
      <c r="R346" s="74"/>
    </row>
    <row r="347" spans="4:18" customFormat="1" ht="22.5" customHeight="1">
      <c r="D347" s="95"/>
      <c r="H347" s="103"/>
      <c r="I347" s="99"/>
      <c r="J347" s="99"/>
      <c r="K347" s="99"/>
      <c r="L347" s="99"/>
      <c r="M347" s="99"/>
      <c r="N347" s="99"/>
      <c r="O347" s="99"/>
      <c r="P347" s="99"/>
      <c r="Q347" s="99"/>
      <c r="R347" s="74"/>
    </row>
    <row r="348" spans="4:18" customFormat="1" ht="22.5" customHeight="1">
      <c r="D348" s="95"/>
      <c r="H348" s="103"/>
      <c r="I348" s="99"/>
      <c r="J348" s="99"/>
      <c r="K348" s="99"/>
      <c r="L348" s="99"/>
      <c r="M348" s="99"/>
      <c r="N348" s="99"/>
      <c r="O348" s="99"/>
      <c r="P348" s="99"/>
      <c r="Q348" s="99"/>
      <c r="R348" s="74"/>
    </row>
    <row r="349" spans="4:18" customFormat="1" ht="22.5" customHeight="1">
      <c r="D349" s="95"/>
      <c r="H349" s="103"/>
      <c r="I349" s="99"/>
      <c r="J349" s="99"/>
      <c r="K349" s="99"/>
      <c r="L349" s="99"/>
      <c r="M349" s="99"/>
      <c r="N349" s="99"/>
      <c r="O349" s="99"/>
      <c r="P349" s="99"/>
      <c r="Q349" s="99"/>
      <c r="R349" s="74"/>
    </row>
    <row r="350" spans="4:18" customFormat="1" ht="22.5" customHeight="1">
      <c r="D350" s="95"/>
      <c r="H350" s="103"/>
      <c r="I350" s="99"/>
      <c r="J350" s="99"/>
      <c r="K350" s="99"/>
      <c r="L350" s="99"/>
      <c r="M350" s="99"/>
      <c r="N350" s="99"/>
      <c r="O350" s="99"/>
      <c r="P350" s="99"/>
      <c r="Q350" s="99"/>
      <c r="R350" s="74"/>
    </row>
    <row r="351" spans="4:18" customFormat="1" ht="22.5" customHeight="1">
      <c r="D351" s="95"/>
      <c r="H351" s="103"/>
      <c r="I351" s="99"/>
      <c r="J351" s="99"/>
      <c r="K351" s="99"/>
      <c r="L351" s="99"/>
      <c r="M351" s="99"/>
      <c r="N351" s="99"/>
      <c r="O351" s="99"/>
      <c r="P351" s="99"/>
      <c r="Q351" s="99"/>
      <c r="R351" s="74"/>
    </row>
    <row r="352" spans="4:18" customFormat="1" ht="22.5" customHeight="1">
      <c r="D352" s="95"/>
      <c r="H352" s="103"/>
      <c r="I352" s="99"/>
      <c r="J352" s="99"/>
      <c r="K352" s="99"/>
      <c r="L352" s="99"/>
      <c r="M352" s="99"/>
      <c r="N352" s="99"/>
      <c r="O352" s="99"/>
      <c r="P352" s="99"/>
      <c r="Q352" s="99"/>
      <c r="R352" s="74"/>
    </row>
    <row r="353" spans="4:18" customFormat="1" ht="22.5" customHeight="1">
      <c r="D353" s="95"/>
      <c r="H353" s="103"/>
      <c r="I353" s="99"/>
      <c r="J353" s="99"/>
      <c r="K353" s="99"/>
      <c r="L353" s="99"/>
      <c r="M353" s="99"/>
      <c r="N353" s="99"/>
      <c r="O353" s="99"/>
      <c r="P353" s="99"/>
      <c r="Q353" s="99"/>
      <c r="R353" s="74"/>
    </row>
    <row r="354" spans="4:18" customFormat="1" ht="22.5" customHeight="1">
      <c r="D354" s="95"/>
      <c r="H354" s="103"/>
      <c r="I354" s="99"/>
      <c r="J354" s="99"/>
      <c r="K354" s="99"/>
      <c r="L354" s="99"/>
      <c r="M354" s="99"/>
      <c r="N354" s="99"/>
      <c r="O354" s="99"/>
      <c r="P354" s="99"/>
      <c r="Q354" s="99"/>
      <c r="R354" s="74"/>
    </row>
    <row r="355" spans="4:18" customFormat="1" ht="22.5" customHeight="1">
      <c r="D355" s="95"/>
      <c r="H355" s="103"/>
      <c r="I355" s="99"/>
      <c r="J355" s="99"/>
      <c r="K355" s="99"/>
      <c r="L355" s="99"/>
      <c r="M355" s="99"/>
      <c r="N355" s="99"/>
      <c r="O355" s="99"/>
      <c r="P355" s="99"/>
      <c r="Q355" s="99"/>
      <c r="R355" s="74"/>
    </row>
    <row r="356" spans="4:18" customFormat="1" ht="22.5" customHeight="1">
      <c r="D356" s="95"/>
      <c r="H356" s="103"/>
      <c r="I356" s="99"/>
      <c r="J356" s="99"/>
      <c r="K356" s="99"/>
      <c r="L356" s="99"/>
      <c r="M356" s="99"/>
      <c r="N356" s="99"/>
      <c r="O356" s="99"/>
      <c r="P356" s="99"/>
      <c r="Q356" s="99"/>
      <c r="R356" s="74"/>
    </row>
    <row r="357" spans="4:18" customFormat="1" ht="22.5" customHeight="1">
      <c r="D357" s="95"/>
      <c r="H357" s="103"/>
      <c r="I357" s="99"/>
      <c r="J357" s="99"/>
      <c r="K357" s="99"/>
      <c r="L357" s="99"/>
      <c r="M357" s="99"/>
      <c r="N357" s="99"/>
      <c r="O357" s="99"/>
      <c r="P357" s="99"/>
      <c r="Q357" s="99"/>
      <c r="R357" s="74"/>
    </row>
    <row r="358" spans="4:18" customFormat="1" ht="22.5" customHeight="1">
      <c r="D358" s="95"/>
      <c r="H358" s="103"/>
      <c r="I358" s="99"/>
      <c r="J358" s="99"/>
      <c r="K358" s="99"/>
      <c r="L358" s="99"/>
      <c r="M358" s="99"/>
      <c r="N358" s="99"/>
      <c r="O358" s="99"/>
      <c r="P358" s="99"/>
      <c r="Q358" s="99"/>
      <c r="R358" s="74"/>
    </row>
    <row r="359" spans="4:18" customFormat="1" ht="22.5" customHeight="1">
      <c r="D359" s="95"/>
      <c r="H359" s="103"/>
      <c r="I359" s="99"/>
      <c r="J359" s="99"/>
      <c r="K359" s="99"/>
      <c r="L359" s="99"/>
      <c r="M359" s="99"/>
      <c r="N359" s="99"/>
      <c r="O359" s="99"/>
      <c r="P359" s="99"/>
      <c r="Q359" s="99"/>
      <c r="R359" s="74"/>
    </row>
    <row r="360" spans="4:18" customFormat="1" ht="22.5" customHeight="1">
      <c r="D360" s="95"/>
      <c r="H360" s="103"/>
      <c r="I360" s="99"/>
      <c r="J360" s="99"/>
      <c r="K360" s="99"/>
      <c r="L360" s="99"/>
      <c r="M360" s="99"/>
      <c r="N360" s="99"/>
      <c r="O360" s="99"/>
      <c r="P360" s="99"/>
      <c r="Q360" s="99"/>
      <c r="R360" s="74"/>
    </row>
    <row r="361" spans="4:18" customFormat="1" ht="22.5" customHeight="1">
      <c r="D361" s="95"/>
      <c r="H361" s="103"/>
      <c r="I361" s="99"/>
      <c r="J361" s="99"/>
      <c r="K361" s="99"/>
      <c r="L361" s="99"/>
      <c r="M361" s="99"/>
      <c r="N361" s="99"/>
      <c r="O361" s="99"/>
      <c r="P361" s="99"/>
      <c r="Q361" s="99"/>
      <c r="R361" s="74"/>
    </row>
    <row r="362" spans="4:18" customFormat="1" ht="22.5" customHeight="1">
      <c r="D362" s="95"/>
      <c r="H362" s="103"/>
      <c r="I362" s="99"/>
      <c r="J362" s="99"/>
      <c r="K362" s="99"/>
      <c r="L362" s="99"/>
      <c r="M362" s="99"/>
      <c r="N362" s="99"/>
      <c r="O362" s="99"/>
      <c r="P362" s="99"/>
      <c r="Q362" s="99"/>
      <c r="R362" s="74"/>
    </row>
    <row r="363" spans="4:18" customFormat="1" ht="22.5" customHeight="1">
      <c r="D363" s="95"/>
      <c r="H363" s="103"/>
      <c r="I363" s="99"/>
      <c r="J363" s="99"/>
      <c r="K363" s="99"/>
      <c r="L363" s="99"/>
      <c r="M363" s="99"/>
      <c r="N363" s="99"/>
      <c r="O363" s="99"/>
      <c r="P363" s="99"/>
      <c r="Q363" s="99"/>
      <c r="R363" s="74"/>
    </row>
    <row r="364" spans="4:18" customFormat="1" ht="22.5" customHeight="1">
      <c r="D364" s="95"/>
      <c r="H364" s="103"/>
      <c r="I364" s="99"/>
      <c r="J364" s="99"/>
      <c r="K364" s="99"/>
      <c r="L364" s="99"/>
      <c r="M364" s="99"/>
      <c r="N364" s="99"/>
      <c r="O364" s="99"/>
      <c r="P364" s="99"/>
      <c r="Q364" s="99"/>
      <c r="R364" s="74"/>
    </row>
    <row r="365" spans="4:18" customFormat="1" ht="22.5" customHeight="1">
      <c r="D365" s="95"/>
      <c r="H365" s="103"/>
      <c r="I365" s="99"/>
      <c r="J365" s="99"/>
      <c r="K365" s="99"/>
      <c r="L365" s="99"/>
      <c r="M365" s="99"/>
      <c r="N365" s="99"/>
      <c r="O365" s="99"/>
      <c r="P365" s="99"/>
      <c r="Q365" s="99"/>
      <c r="R365" s="74"/>
    </row>
    <row r="366" spans="4:18" customFormat="1" ht="22.5" customHeight="1">
      <c r="D366" s="95"/>
      <c r="H366" s="103"/>
      <c r="I366" s="99"/>
      <c r="J366" s="99"/>
      <c r="K366" s="99"/>
      <c r="L366" s="99"/>
      <c r="M366" s="99"/>
      <c r="N366" s="99"/>
      <c r="O366" s="99"/>
      <c r="P366" s="99"/>
      <c r="Q366" s="99"/>
      <c r="R366" s="74"/>
    </row>
    <row r="367" spans="4:18" customFormat="1" ht="22.5" customHeight="1">
      <c r="D367" s="95"/>
      <c r="H367" s="103"/>
      <c r="I367" s="99"/>
      <c r="J367" s="99"/>
      <c r="K367" s="99"/>
      <c r="L367" s="99"/>
      <c r="M367" s="99"/>
      <c r="N367" s="99"/>
      <c r="O367" s="99"/>
      <c r="P367" s="99"/>
      <c r="Q367" s="99"/>
      <c r="R367" s="74"/>
    </row>
    <row r="368" spans="4:18" customFormat="1" ht="22.5" customHeight="1">
      <c r="D368" s="95"/>
      <c r="H368" s="103"/>
      <c r="I368" s="99"/>
      <c r="J368" s="99"/>
      <c r="K368" s="99"/>
      <c r="L368" s="99"/>
      <c r="M368" s="99"/>
      <c r="N368" s="99"/>
      <c r="O368" s="99"/>
      <c r="P368" s="99"/>
      <c r="Q368" s="99"/>
      <c r="R368" s="74"/>
    </row>
    <row r="369" spans="4:18" customFormat="1" ht="22.5" customHeight="1">
      <c r="D369" s="95"/>
      <c r="H369" s="103"/>
      <c r="I369" s="99"/>
      <c r="J369" s="99"/>
      <c r="K369" s="99"/>
      <c r="L369" s="99"/>
      <c r="M369" s="99"/>
      <c r="N369" s="99"/>
      <c r="O369" s="99"/>
      <c r="P369" s="99"/>
      <c r="Q369" s="99"/>
      <c r="R369" s="74"/>
    </row>
    <row r="370" spans="4:18" customFormat="1" ht="22.5" customHeight="1">
      <c r="D370" s="95"/>
      <c r="H370" s="103"/>
      <c r="I370" s="99"/>
      <c r="J370" s="99"/>
      <c r="K370" s="99"/>
      <c r="L370" s="99"/>
      <c r="M370" s="99"/>
      <c r="N370" s="99"/>
      <c r="O370" s="99"/>
      <c r="P370" s="99"/>
      <c r="Q370" s="99"/>
      <c r="R370" s="74"/>
    </row>
    <row r="371" spans="4:18" customFormat="1" ht="22.5" customHeight="1">
      <c r="D371" s="95"/>
      <c r="H371" s="103"/>
      <c r="I371" s="99"/>
      <c r="J371" s="99"/>
      <c r="K371" s="99"/>
      <c r="L371" s="99"/>
      <c r="M371" s="99"/>
      <c r="N371" s="99"/>
      <c r="O371" s="99"/>
      <c r="P371" s="99"/>
      <c r="Q371" s="99"/>
      <c r="R371" s="74"/>
    </row>
    <row r="372" spans="4:18" customFormat="1" ht="22.5" customHeight="1">
      <c r="D372" s="95"/>
      <c r="H372" s="103"/>
      <c r="I372" s="99"/>
      <c r="J372" s="99"/>
      <c r="K372" s="99"/>
      <c r="L372" s="99"/>
      <c r="M372" s="99"/>
      <c r="N372" s="99"/>
      <c r="O372" s="99"/>
      <c r="P372" s="99"/>
      <c r="Q372" s="99"/>
      <c r="R372" s="74"/>
    </row>
    <row r="373" spans="4:18" customFormat="1" ht="22.5" customHeight="1">
      <c r="D373" s="95"/>
      <c r="H373" s="103"/>
      <c r="I373" s="99"/>
      <c r="J373" s="99"/>
      <c r="K373" s="99"/>
      <c r="L373" s="99"/>
      <c r="M373" s="99"/>
      <c r="N373" s="99"/>
      <c r="O373" s="99"/>
      <c r="P373" s="99"/>
      <c r="Q373" s="99"/>
      <c r="R373" s="74"/>
    </row>
    <row r="374" spans="4:18" customFormat="1" ht="22.5" customHeight="1">
      <c r="D374" s="95"/>
      <c r="H374" s="103"/>
      <c r="I374" s="99"/>
      <c r="J374" s="99"/>
      <c r="K374" s="99"/>
      <c r="L374" s="99"/>
      <c r="M374" s="99"/>
      <c r="N374" s="99"/>
      <c r="O374" s="99"/>
      <c r="P374" s="99"/>
      <c r="Q374" s="99"/>
      <c r="R374" s="74"/>
    </row>
    <row r="375" spans="4:18" customFormat="1" ht="22.5" customHeight="1">
      <c r="D375" s="95"/>
      <c r="H375" s="103"/>
      <c r="I375" s="99"/>
      <c r="J375" s="99"/>
      <c r="K375" s="99"/>
      <c r="L375" s="99"/>
      <c r="M375" s="99"/>
      <c r="N375" s="99"/>
      <c r="O375" s="99"/>
      <c r="P375" s="99"/>
      <c r="Q375" s="99"/>
      <c r="R375" s="74"/>
    </row>
    <row r="376" spans="4:18" customFormat="1" ht="22.5" customHeight="1">
      <c r="D376" s="95"/>
      <c r="H376" s="103"/>
      <c r="I376" s="99"/>
      <c r="J376" s="99"/>
      <c r="K376" s="99"/>
      <c r="L376" s="99"/>
      <c r="M376" s="99"/>
      <c r="N376" s="99"/>
      <c r="O376" s="99"/>
      <c r="P376" s="99"/>
      <c r="Q376" s="99"/>
      <c r="R376" s="74"/>
    </row>
    <row r="377" spans="4:18" customFormat="1" ht="22.5" customHeight="1">
      <c r="D377" s="95"/>
      <c r="H377" s="103"/>
      <c r="I377" s="99"/>
      <c r="J377" s="99"/>
      <c r="K377" s="99"/>
      <c r="L377" s="99"/>
      <c r="M377" s="99"/>
      <c r="N377" s="99"/>
      <c r="O377" s="99"/>
      <c r="P377" s="99"/>
      <c r="Q377" s="99"/>
      <c r="R377" s="74"/>
    </row>
    <row r="378" spans="4:18" customFormat="1" ht="22.5" customHeight="1">
      <c r="D378" s="95"/>
      <c r="H378" s="103"/>
      <c r="I378" s="99"/>
      <c r="J378" s="99"/>
      <c r="K378" s="99"/>
      <c r="L378" s="99"/>
      <c r="M378" s="99"/>
      <c r="N378" s="99"/>
      <c r="O378" s="99"/>
      <c r="P378" s="99"/>
      <c r="Q378" s="99"/>
      <c r="R378" s="74"/>
    </row>
    <row r="379" spans="4:18" customFormat="1" ht="22.5" customHeight="1">
      <c r="D379" s="95"/>
      <c r="H379" s="103"/>
      <c r="I379" s="99"/>
      <c r="J379" s="99"/>
      <c r="K379" s="99"/>
      <c r="L379" s="99"/>
      <c r="M379" s="99"/>
      <c r="N379" s="99"/>
      <c r="O379" s="99"/>
      <c r="P379" s="99"/>
      <c r="Q379" s="99"/>
      <c r="R379" s="74"/>
    </row>
    <row r="380" spans="4:18" customFormat="1" ht="22.5" customHeight="1">
      <c r="D380" s="95"/>
      <c r="H380" s="103"/>
      <c r="I380" s="99"/>
      <c r="J380" s="99"/>
      <c r="K380" s="99"/>
      <c r="L380" s="99"/>
      <c r="M380" s="99"/>
      <c r="N380" s="99"/>
      <c r="O380" s="99"/>
      <c r="P380" s="99"/>
      <c r="Q380" s="99"/>
      <c r="R380" s="74"/>
    </row>
    <row r="381" spans="4:18" customFormat="1" ht="22.5" customHeight="1">
      <c r="D381" s="95"/>
      <c r="H381" s="103"/>
      <c r="I381" s="99"/>
      <c r="J381" s="99"/>
      <c r="K381" s="99"/>
      <c r="L381" s="99"/>
      <c r="M381" s="99"/>
      <c r="N381" s="99"/>
      <c r="O381" s="99"/>
      <c r="P381" s="99"/>
      <c r="Q381" s="99"/>
      <c r="R381" s="74"/>
    </row>
    <row r="382" spans="4:18" customFormat="1" ht="22.5" customHeight="1">
      <c r="D382" s="95"/>
      <c r="H382" s="103"/>
      <c r="I382" s="99"/>
      <c r="J382" s="99"/>
      <c r="K382" s="99"/>
      <c r="L382" s="99"/>
      <c r="M382" s="99"/>
      <c r="N382" s="99"/>
      <c r="O382" s="99"/>
      <c r="P382" s="99"/>
      <c r="Q382" s="99"/>
      <c r="R382" s="74"/>
    </row>
    <row r="383" spans="4:18" customFormat="1" ht="22.5" customHeight="1">
      <c r="D383" s="95"/>
      <c r="H383" s="103"/>
      <c r="I383" s="99"/>
      <c r="J383" s="99"/>
      <c r="K383" s="99"/>
      <c r="L383" s="99"/>
      <c r="M383" s="99"/>
      <c r="N383" s="99"/>
      <c r="O383" s="99"/>
      <c r="P383" s="99"/>
      <c r="Q383" s="99"/>
      <c r="R383" s="74"/>
    </row>
    <row r="384" spans="4:18" customFormat="1" ht="22.5" customHeight="1">
      <c r="D384" s="95"/>
      <c r="H384" s="103"/>
      <c r="I384" s="99"/>
      <c r="J384" s="99"/>
      <c r="K384" s="99"/>
      <c r="L384" s="99"/>
      <c r="M384" s="99"/>
      <c r="N384" s="99"/>
      <c r="O384" s="99"/>
      <c r="P384" s="99"/>
      <c r="Q384" s="99"/>
      <c r="R384" s="74"/>
    </row>
    <row r="385" spans="4:18" customFormat="1" ht="22.5" customHeight="1">
      <c r="D385" s="95"/>
      <c r="H385" s="103"/>
      <c r="I385" s="99"/>
      <c r="J385" s="99"/>
      <c r="K385" s="99"/>
      <c r="L385" s="99"/>
      <c r="M385" s="99"/>
      <c r="N385" s="99"/>
      <c r="O385" s="99"/>
      <c r="P385" s="99"/>
      <c r="Q385" s="99"/>
      <c r="R385" s="74"/>
    </row>
    <row r="386" spans="4:18" customFormat="1" ht="22.5" customHeight="1">
      <c r="D386" s="95"/>
      <c r="H386" s="103"/>
      <c r="I386" s="99"/>
      <c r="J386" s="99"/>
      <c r="K386" s="99"/>
      <c r="L386" s="99"/>
      <c r="M386" s="99"/>
      <c r="N386" s="99"/>
      <c r="O386" s="99"/>
      <c r="P386" s="99"/>
      <c r="Q386" s="99"/>
      <c r="R386" s="74"/>
    </row>
    <row r="387" spans="4:18" customFormat="1" ht="22.5" customHeight="1">
      <c r="D387" s="95"/>
      <c r="H387" s="103"/>
      <c r="I387" s="99"/>
      <c r="J387" s="99"/>
      <c r="K387" s="99"/>
      <c r="L387" s="99"/>
      <c r="M387" s="99"/>
      <c r="N387" s="99"/>
      <c r="O387" s="99"/>
      <c r="P387" s="99"/>
      <c r="Q387" s="99"/>
      <c r="R387" s="74"/>
    </row>
    <row r="388" spans="4:18" customFormat="1" ht="22.5" customHeight="1">
      <c r="D388" s="95"/>
      <c r="H388" s="103"/>
      <c r="I388" s="99"/>
      <c r="J388" s="99"/>
      <c r="K388" s="99"/>
      <c r="L388" s="99"/>
      <c r="M388" s="99"/>
      <c r="N388" s="99"/>
      <c r="O388" s="99"/>
      <c r="P388" s="99"/>
      <c r="Q388" s="99"/>
      <c r="R388" s="74"/>
    </row>
    <row r="389" spans="4:18" customFormat="1" ht="22.5" customHeight="1">
      <c r="D389" s="95"/>
      <c r="H389" s="103"/>
      <c r="I389" s="99"/>
      <c r="J389" s="99"/>
      <c r="K389" s="99"/>
      <c r="L389" s="99"/>
      <c r="M389" s="99"/>
      <c r="N389" s="99"/>
      <c r="O389" s="99"/>
      <c r="P389" s="99"/>
      <c r="Q389" s="99"/>
      <c r="R389" s="74"/>
    </row>
  </sheetData>
  <mergeCells count="68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</mergeCells>
  <phoneticPr fontId="12" type="noConversion"/>
  <pageMargins left="0.7" right="0.7" top="0.75" bottom="0.75" header="0.3" footer="0.3"/>
  <pageSetup scale="34" orientation="portrait" r:id="rId1"/>
  <ignoredErrors>
    <ignoredError sqref="E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27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27</xdr:col>
                    <xdr:colOff>161925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295275</xdr:colOff>
                    <xdr:row>1</xdr:row>
                    <xdr:rowOff>9525</xdr:rowOff>
                  </from>
                  <to>
                    <xdr:col>28</xdr:col>
                    <xdr:colOff>400050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304800</xdr:colOff>
                    <xdr:row>3</xdr:row>
                    <xdr:rowOff>38100</xdr:rowOff>
                  </from>
                  <to>
                    <xdr:col>28</xdr:col>
                    <xdr:colOff>409575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05"/>
  <sheetViews>
    <sheetView zoomScale="85" zoomScaleNormal="85" workbookViewId="0">
      <pane ySplit="9" topLeftCell="A10" activePane="bottomLeft" state="frozen"/>
      <selection pane="bottomLeft" activeCell="D24" sqref="D24"/>
    </sheetView>
  </sheetViews>
  <sheetFormatPr defaultColWidth="12.125" defaultRowHeight="22.5" customHeight="1"/>
  <cols>
    <col min="1" max="1" width="5.125" style="28" bestFit="1" customWidth="1"/>
    <col min="2" max="2" width="6" style="65" bestFit="1" customWidth="1"/>
    <col min="3" max="3" width="7.75" style="28" bestFit="1" customWidth="1"/>
    <col min="4" max="4" width="29.5" style="98" customWidth="1"/>
    <col min="5" max="7" width="5.625" style="32" customWidth="1"/>
    <col min="8" max="17" width="5.625" style="29" customWidth="1"/>
    <col min="18" max="18" width="6.625" style="52" bestFit="1" customWidth="1"/>
    <col min="19" max="19" width="23.125" style="28" customWidth="1"/>
    <col min="20" max="20" width="4.625" style="44" customWidth="1"/>
    <col min="21" max="21" width="11.5" style="52" customWidth="1"/>
    <col min="22" max="22" width="20.25" style="106" customWidth="1"/>
    <col min="23" max="23" width="12.125" style="43"/>
    <col min="24" max="16384" width="12.125" style="28"/>
  </cols>
  <sheetData>
    <row r="1" spans="1:23" s="9" customFormat="1" ht="18" customHeight="1">
      <c r="D1" s="96"/>
      <c r="E1" s="25"/>
      <c r="F1" s="25"/>
      <c r="G1" s="25"/>
      <c r="R1" s="25"/>
      <c r="T1" s="44"/>
      <c r="U1" s="129"/>
      <c r="V1" s="130"/>
      <c r="W1" s="58"/>
    </row>
    <row r="2" spans="1:23" s="9" customFormat="1" ht="16.5" customHeight="1">
      <c r="D2" s="96"/>
      <c r="E2" s="25"/>
      <c r="F2" s="25"/>
      <c r="G2" s="25"/>
      <c r="R2" s="25"/>
      <c r="T2" s="44"/>
      <c r="U2" s="129"/>
      <c r="V2" s="130"/>
      <c r="W2" s="58"/>
    </row>
    <row r="3" spans="1:23" s="9" customFormat="1" ht="16.5" customHeight="1">
      <c r="D3" s="96"/>
      <c r="E3" s="25"/>
      <c r="F3" s="25"/>
      <c r="G3" s="25"/>
      <c r="R3" s="25"/>
      <c r="T3" s="44"/>
      <c r="U3" s="129"/>
      <c r="V3" s="130"/>
      <c r="W3" s="58"/>
    </row>
    <row r="4" spans="1:23" s="9" customFormat="1" ht="9.75" customHeight="1">
      <c r="D4" s="96"/>
      <c r="E4" s="25"/>
      <c r="F4" s="25"/>
      <c r="G4" s="25"/>
      <c r="R4" s="25"/>
      <c r="T4" s="42"/>
      <c r="U4" s="25"/>
      <c r="V4" s="105"/>
    </row>
    <row r="5" spans="1:23" s="9" customFormat="1" ht="13.5" customHeight="1">
      <c r="A5" s="175" t="s">
        <v>0</v>
      </c>
      <c r="B5" s="175" t="s">
        <v>1</v>
      </c>
      <c r="C5" s="175" t="s">
        <v>2</v>
      </c>
      <c r="D5" s="182" t="s">
        <v>22</v>
      </c>
      <c r="E5" s="193" t="s">
        <v>4</v>
      </c>
      <c r="F5" s="194"/>
      <c r="G5" s="195"/>
      <c r="H5" s="175" t="s">
        <v>5</v>
      </c>
      <c r="I5" s="175" t="s">
        <v>6</v>
      </c>
      <c r="J5" s="175" t="s">
        <v>7</v>
      </c>
      <c r="K5" s="175" t="s">
        <v>8</v>
      </c>
      <c r="L5" s="175" t="s">
        <v>9</v>
      </c>
      <c r="M5" s="175" t="s">
        <v>10</v>
      </c>
      <c r="N5" s="175" t="s">
        <v>11</v>
      </c>
      <c r="O5" s="175" t="s">
        <v>12</v>
      </c>
      <c r="P5" s="175" t="s">
        <v>13</v>
      </c>
      <c r="Q5" s="175" t="s">
        <v>14</v>
      </c>
      <c r="R5" s="206" t="s">
        <v>15</v>
      </c>
      <c r="S5" s="175" t="s">
        <v>16</v>
      </c>
      <c r="T5" s="42"/>
      <c r="U5" s="206" t="s">
        <v>23</v>
      </c>
      <c r="V5" s="201" t="s">
        <v>44</v>
      </c>
    </row>
    <row r="6" spans="1:23" s="9" customFormat="1" ht="13.5" customHeight="1">
      <c r="A6" s="176"/>
      <c r="B6" s="176"/>
      <c r="C6" s="176"/>
      <c r="D6" s="183"/>
      <c r="E6" s="21" t="s">
        <v>17</v>
      </c>
      <c r="F6" s="22" t="s">
        <v>18</v>
      </c>
      <c r="G6" s="22" t="s">
        <v>19</v>
      </c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207"/>
      <c r="S6" s="176"/>
      <c r="T6" s="42"/>
      <c r="U6" s="207"/>
      <c r="V6" s="202"/>
    </row>
    <row r="7" spans="1:23" s="9" customFormat="1" ht="13.5" customHeight="1">
      <c r="A7" s="184" t="s">
        <v>15</v>
      </c>
      <c r="B7" s="185"/>
      <c r="C7" s="185"/>
      <c r="D7" s="186"/>
      <c r="E7" s="187" t="str">
        <f>EvalPower(E9:G9)</f>
        <v>0</v>
      </c>
      <c r="F7" s="188"/>
      <c r="G7" s="189"/>
      <c r="H7" s="190" t="str">
        <f>EvalMath(H10:H53)</f>
        <v>-</v>
      </c>
      <c r="I7" s="190" t="str">
        <f>EvalMath(I10:I53)</f>
        <v>-</v>
      </c>
      <c r="J7" s="196" t="str">
        <f>EvalMath(J10:J53)</f>
        <v>-</v>
      </c>
      <c r="K7" s="190" t="str">
        <f>EvalMath(K10:K53)</f>
        <v>-</v>
      </c>
      <c r="L7" s="190" t="str">
        <f>EvalMath(L10:L53)</f>
        <v>-</v>
      </c>
      <c r="M7" s="190" t="str">
        <f>EvalMath(M10:M53)</f>
        <v>-</v>
      </c>
      <c r="N7" s="190" t="str">
        <f>EvalMath(N10:N53)</f>
        <v>-</v>
      </c>
      <c r="O7" s="190" t="str">
        <f>EvalMath(O10:O53)</f>
        <v>-</v>
      </c>
      <c r="P7" s="190" t="str">
        <f>EvalMath(P10:P53)</f>
        <v>-</v>
      </c>
      <c r="Q7" s="190" t="str">
        <f>EvalMath(Q10:Q53)</f>
        <v>-</v>
      </c>
      <c r="R7" s="203" t="str">
        <f>EvalPower(R10:R53)</f>
        <v>0</v>
      </c>
      <c r="S7" s="208"/>
      <c r="T7" s="44"/>
      <c r="U7" s="200"/>
      <c r="V7" s="199"/>
      <c r="W7" s="58"/>
    </row>
    <row r="8" spans="1:23" s="9" customFormat="1" ht="13.5" customHeight="1">
      <c r="A8" s="177" t="s">
        <v>28</v>
      </c>
      <c r="B8" s="178"/>
      <c r="C8" s="178"/>
      <c r="D8" s="179"/>
      <c r="E8" s="161" t="str">
        <f>EvalPower(E9:G9)</f>
        <v>0</v>
      </c>
      <c r="F8" s="162"/>
      <c r="G8" s="163"/>
      <c r="H8" s="191"/>
      <c r="I8" s="191"/>
      <c r="J8" s="197"/>
      <c r="K8" s="191"/>
      <c r="L8" s="191"/>
      <c r="M8" s="191"/>
      <c r="N8" s="191"/>
      <c r="O8" s="191"/>
      <c r="P8" s="191"/>
      <c r="Q8" s="191"/>
      <c r="R8" s="204"/>
      <c r="S8" s="209"/>
      <c r="T8" s="44"/>
      <c r="U8" s="200"/>
      <c r="V8" s="199"/>
      <c r="W8" s="58"/>
    </row>
    <row r="9" spans="1:23" s="9" customFormat="1" ht="13.5" customHeight="1">
      <c r="A9" s="180"/>
      <c r="B9" s="170"/>
      <c r="C9" s="170"/>
      <c r="D9" s="181"/>
      <c r="E9" s="16" t="str">
        <f>EvalPower(E10:E53)</f>
        <v>0</v>
      </c>
      <c r="F9" s="16" t="str">
        <f>EvalPower(F10:F53)</f>
        <v>0</v>
      </c>
      <c r="G9" s="16" t="str">
        <f>EvalPower(G10:G53)</f>
        <v>0</v>
      </c>
      <c r="H9" s="192"/>
      <c r="I9" s="192"/>
      <c r="J9" s="198"/>
      <c r="K9" s="192"/>
      <c r="L9" s="192"/>
      <c r="M9" s="192"/>
      <c r="N9" s="192"/>
      <c r="O9" s="192"/>
      <c r="P9" s="192"/>
      <c r="Q9" s="192"/>
      <c r="R9" s="205"/>
      <c r="S9" s="209"/>
      <c r="T9" s="44"/>
      <c r="U9" s="200"/>
      <c r="V9" s="199"/>
      <c r="W9" s="58"/>
    </row>
    <row r="10" spans="1:23" ht="22.5" customHeight="1">
      <c r="A10" s="12">
        <v>1</v>
      </c>
      <c r="B10" s="73"/>
      <c r="C10" s="72"/>
      <c r="D10" s="72"/>
      <c r="E10" s="27"/>
      <c r="F10" s="27"/>
      <c r="G10" s="27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1">
        <f>(EvalPower(E10:G10)*U10)</f>
        <v>0</v>
      </c>
      <c r="S10" s="122"/>
      <c r="U10" s="45"/>
    </row>
    <row r="11" spans="1:23" ht="22.5" customHeight="1">
      <c r="A11" s="12"/>
      <c r="B11" s="73"/>
      <c r="C11" s="72"/>
      <c r="D11" s="72"/>
      <c r="E11" s="27"/>
      <c r="F11" s="27"/>
      <c r="G11" s="27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2"/>
      <c r="S11" s="133"/>
      <c r="U11" s="45"/>
    </row>
    <row r="12" spans="1:23" ht="22.5" customHeight="1">
      <c r="A12" s="12"/>
      <c r="B12" s="73"/>
      <c r="C12" s="72"/>
      <c r="D12" s="72"/>
      <c r="E12" s="27"/>
      <c r="F12" s="27"/>
      <c r="G12" s="27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32"/>
      <c r="S12" s="133"/>
      <c r="U12" s="45"/>
    </row>
    <row r="13" spans="1:23" ht="22.5" customHeight="1">
      <c r="A13" s="12"/>
      <c r="B13" s="73"/>
      <c r="C13" s="72"/>
      <c r="D13" s="72"/>
      <c r="E13" s="27"/>
      <c r="F13" s="27"/>
      <c r="G13" s="27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32"/>
      <c r="S13" s="133"/>
      <c r="U13" s="45"/>
    </row>
    <row r="14" spans="1:23" ht="29.25" customHeight="1">
      <c r="A14" s="12"/>
      <c r="B14" s="73"/>
      <c r="C14" s="72"/>
      <c r="D14" s="72"/>
      <c r="E14" s="27"/>
      <c r="F14" s="27"/>
      <c r="G14" s="27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32"/>
      <c r="S14" s="133"/>
      <c r="U14" s="45"/>
    </row>
    <row r="15" spans="1:23" ht="29.25" customHeight="1">
      <c r="A15" s="12"/>
      <c r="B15" s="116"/>
      <c r="C15" s="72"/>
      <c r="D15" s="131"/>
      <c r="E15" s="27"/>
      <c r="F15" s="27"/>
      <c r="G15" s="27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32"/>
      <c r="S15" s="133"/>
      <c r="U15" s="45"/>
    </row>
    <row r="16" spans="1:23" ht="29.25" customHeight="1">
      <c r="A16" s="12"/>
      <c r="B16" s="116"/>
      <c r="C16" s="72"/>
      <c r="D16" s="131"/>
      <c r="E16" s="27"/>
      <c r="F16" s="27"/>
      <c r="G16" s="27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32"/>
      <c r="S16" s="133"/>
      <c r="U16" s="45"/>
    </row>
    <row r="17" spans="1:22" ht="22.5" customHeight="1">
      <c r="A17" s="12"/>
      <c r="B17" s="88"/>
      <c r="C17" s="72"/>
      <c r="D17" s="92"/>
      <c r="E17" s="27"/>
      <c r="F17" s="27"/>
      <c r="G17" s="27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32"/>
      <c r="S17" s="133"/>
      <c r="U17" s="45"/>
    </row>
    <row r="18" spans="1:22" ht="22.5" customHeight="1">
      <c r="A18" s="12"/>
      <c r="B18" s="88"/>
      <c r="C18" s="72"/>
      <c r="D18" s="92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32"/>
      <c r="S18" s="125"/>
      <c r="U18" s="45"/>
    </row>
    <row r="19" spans="1:22" ht="22.5" customHeight="1">
      <c r="A19" s="12"/>
      <c r="B19" s="69"/>
      <c r="C19" s="72"/>
      <c r="D19" s="92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7"/>
      <c r="S19" s="110"/>
      <c r="U19" s="45"/>
    </row>
    <row r="20" spans="1:22" ht="22.5" customHeight="1">
      <c r="A20" s="12"/>
      <c r="B20" s="116"/>
      <c r="C20" s="72"/>
      <c r="D20" s="123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7"/>
      <c r="S20" s="124"/>
      <c r="U20" s="45"/>
    </row>
    <row r="21" spans="1:22" ht="22.5" customHeight="1">
      <c r="A21" s="12"/>
      <c r="B21" s="116"/>
      <c r="C21" s="72"/>
      <c r="D21" s="123"/>
      <c r="E21" s="27"/>
      <c r="F21" s="27"/>
      <c r="G21" s="27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7"/>
      <c r="S21" s="125"/>
      <c r="U21" s="45"/>
    </row>
    <row r="22" spans="1:22" ht="22.5" customHeight="1">
      <c r="A22" s="12"/>
      <c r="B22" s="88"/>
      <c r="C22" s="72"/>
      <c r="D22" s="92"/>
      <c r="E22" s="27"/>
      <c r="F22" s="27"/>
      <c r="G22" s="27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11"/>
      <c r="S22" s="81"/>
      <c r="U22" s="45"/>
    </row>
    <row r="23" spans="1:22" ht="22.5" customHeight="1">
      <c r="A23" s="12"/>
      <c r="B23" s="88"/>
      <c r="C23" s="72"/>
      <c r="D23" s="92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11"/>
      <c r="S23" s="112"/>
      <c r="U23" s="45"/>
    </row>
    <row r="24" spans="1:22" ht="22.5" customHeight="1">
      <c r="A24" s="12"/>
      <c r="B24" s="88"/>
      <c r="C24" s="72"/>
      <c r="D24" s="92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11"/>
      <c r="S24" s="112"/>
      <c r="U24" s="45"/>
    </row>
    <row r="25" spans="1:22" ht="22.5" customHeight="1">
      <c r="A25" s="12"/>
      <c r="B25" s="88"/>
      <c r="C25" s="72"/>
      <c r="D25" s="92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11"/>
      <c r="S25" s="39"/>
      <c r="U25" s="45"/>
    </row>
    <row r="26" spans="1:22" ht="22.5" customHeight="1">
      <c r="A26" s="12"/>
      <c r="B26" s="59"/>
      <c r="C26" s="79"/>
      <c r="D26" s="93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80"/>
      <c r="S26" s="78"/>
      <c r="U26" s="45"/>
    </row>
    <row r="27" spans="1:22" ht="22.5" customHeight="1">
      <c r="A27" s="12"/>
      <c r="B27" s="59"/>
      <c r="C27" s="78"/>
      <c r="D27" s="93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77"/>
      <c r="S27" s="78"/>
      <c r="U27" s="45"/>
      <c r="V27" s="107"/>
    </row>
    <row r="28" spans="1:22" ht="22.5" customHeight="1">
      <c r="A28" s="12"/>
      <c r="B28" s="59"/>
      <c r="C28" s="85"/>
      <c r="D28" s="93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77"/>
      <c r="S28" s="78"/>
      <c r="U28" s="45"/>
      <c r="V28" s="107"/>
    </row>
    <row r="29" spans="1:22" ht="22.5" customHeight="1">
      <c r="A29" s="12"/>
      <c r="B29" s="59"/>
      <c r="C29" s="78"/>
      <c r="D29" s="93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77"/>
      <c r="S29" s="66"/>
      <c r="U29" s="45"/>
      <c r="V29" s="107"/>
    </row>
    <row r="30" spans="1:22" ht="22.5" customHeight="1">
      <c r="A30" s="12"/>
      <c r="B30" s="59"/>
      <c r="C30" s="78"/>
      <c r="D30" s="93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77"/>
      <c r="S30" s="78"/>
      <c r="U30" s="45"/>
      <c r="V30" s="107"/>
    </row>
    <row r="31" spans="1:22" ht="22.5" customHeight="1">
      <c r="A31" s="12"/>
      <c r="B31" s="59"/>
      <c r="C31" s="78"/>
      <c r="D31" s="93"/>
      <c r="E31" s="27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77"/>
      <c r="S31" s="78"/>
      <c r="U31" s="45"/>
      <c r="V31" s="107"/>
    </row>
    <row r="32" spans="1:22" ht="22.5" customHeight="1">
      <c r="A32" s="12"/>
      <c r="B32" s="59"/>
      <c r="C32" s="78"/>
      <c r="D32" s="93"/>
      <c r="E32" s="27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77"/>
      <c r="S32" s="78"/>
      <c r="U32" s="45"/>
      <c r="V32" s="107"/>
    </row>
    <row r="33" spans="1:22" ht="22.5" customHeight="1">
      <c r="A33" s="12"/>
      <c r="B33" s="59"/>
      <c r="C33" s="78"/>
      <c r="D33" s="93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77"/>
      <c r="S33" s="78"/>
      <c r="U33" s="45"/>
      <c r="V33" s="107"/>
    </row>
    <row r="34" spans="1:22" ht="22.5" customHeight="1">
      <c r="A34" s="12"/>
      <c r="B34" s="59"/>
      <c r="C34" s="76"/>
      <c r="D34" s="93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75"/>
      <c r="S34" s="39"/>
      <c r="U34" s="15"/>
      <c r="V34" s="107"/>
    </row>
    <row r="35" spans="1:22" ht="22.5" customHeight="1">
      <c r="A35" s="12"/>
      <c r="B35" s="14"/>
      <c r="C35" s="12"/>
      <c r="D35" s="94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68"/>
      <c r="S35" s="39"/>
      <c r="U35" s="45"/>
      <c r="V35" s="107"/>
    </row>
    <row r="36" spans="1:22" ht="22.5" customHeight="1">
      <c r="A36" s="12"/>
      <c r="B36" s="14"/>
      <c r="C36" s="12"/>
      <c r="D36" s="94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68"/>
      <c r="S36" s="39"/>
      <c r="U36" s="45"/>
      <c r="V36" s="107"/>
    </row>
    <row r="37" spans="1:22" ht="22.5" customHeight="1">
      <c r="A37" s="12"/>
      <c r="B37" s="14"/>
      <c r="C37" s="12"/>
      <c r="D37" s="94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68"/>
      <c r="S37" s="39"/>
      <c r="U37" s="45"/>
      <c r="V37" s="107"/>
    </row>
    <row r="38" spans="1:22" ht="22.5" customHeight="1">
      <c r="A38" s="12"/>
      <c r="B38" s="14"/>
      <c r="C38" s="12"/>
      <c r="D38" s="94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64"/>
      <c r="S38" s="39"/>
      <c r="U38" s="45"/>
      <c r="V38" s="107"/>
    </row>
    <row r="39" spans="1:22" ht="22.5" customHeight="1">
      <c r="A39" s="12"/>
      <c r="B39" s="14"/>
      <c r="C39" s="12"/>
      <c r="D39" s="94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64"/>
      <c r="S39" s="39"/>
      <c r="T39" s="42"/>
      <c r="U39" s="15"/>
      <c r="V39" s="107"/>
    </row>
    <row r="40" spans="1:22" ht="22.5" customHeight="1">
      <c r="A40" s="12"/>
      <c r="B40" s="14"/>
      <c r="C40" s="12"/>
      <c r="D40" s="94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64"/>
      <c r="S40" s="39"/>
      <c r="T40" s="42"/>
      <c r="U40" s="15"/>
      <c r="V40" s="107"/>
    </row>
    <row r="41" spans="1:22" ht="22.5" customHeight="1">
      <c r="A41" s="12"/>
      <c r="B41" s="14"/>
      <c r="C41" s="12"/>
      <c r="D41" s="94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64"/>
      <c r="S41" s="39"/>
      <c r="T41" s="42"/>
      <c r="U41" s="15"/>
      <c r="V41" s="107"/>
    </row>
    <row r="42" spans="1:22" ht="22.5" customHeight="1">
      <c r="A42" s="12"/>
      <c r="B42" s="14"/>
      <c r="C42" s="12"/>
      <c r="D42" s="94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46"/>
      <c r="S42" s="41"/>
      <c r="U42" s="15"/>
      <c r="V42" s="108"/>
    </row>
    <row r="43" spans="1:22" ht="22.5" customHeight="1">
      <c r="A43" s="12"/>
      <c r="B43" s="14"/>
      <c r="C43" s="12"/>
      <c r="D43" s="94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46"/>
      <c r="S43" s="41"/>
      <c r="U43" s="15"/>
      <c r="V43" s="108"/>
    </row>
    <row r="44" spans="1:22" ht="22.5" customHeight="1">
      <c r="A44" s="12"/>
      <c r="B44" s="14"/>
      <c r="C44" s="12"/>
      <c r="D44" s="94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46"/>
      <c r="S44" s="41"/>
      <c r="U44" s="15"/>
      <c r="V44" s="108"/>
    </row>
    <row r="45" spans="1:22" ht="22.5" customHeight="1">
      <c r="A45" s="12"/>
      <c r="B45" s="14"/>
      <c r="C45" s="12"/>
      <c r="D45" s="94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46"/>
      <c r="S45" s="41"/>
      <c r="U45" s="45"/>
      <c r="V45" s="108"/>
    </row>
    <row r="46" spans="1:22" ht="22.5" customHeight="1">
      <c r="A46" s="12"/>
      <c r="B46" s="14"/>
      <c r="C46" s="12"/>
      <c r="D46" s="94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46"/>
      <c r="S46" s="41"/>
      <c r="U46" s="45"/>
      <c r="V46" s="108"/>
    </row>
    <row r="47" spans="1:22" ht="22.5" customHeight="1">
      <c r="A47" s="12"/>
      <c r="B47" s="14"/>
      <c r="C47" s="12"/>
      <c r="D47" s="94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46"/>
      <c r="S47" s="53"/>
      <c r="U47" s="45"/>
      <c r="V47" s="108"/>
    </row>
    <row r="48" spans="1:22" ht="22.5" customHeight="1">
      <c r="A48" s="12"/>
      <c r="B48" s="14"/>
      <c r="C48" s="12"/>
      <c r="D48" s="94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46"/>
      <c r="S48" s="53"/>
      <c r="U48" s="45"/>
      <c r="V48" s="108"/>
    </row>
    <row r="49" spans="1:22" ht="22.5" customHeight="1">
      <c r="A49" s="12"/>
      <c r="B49" s="14"/>
      <c r="C49" s="12"/>
      <c r="D49" s="94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46"/>
      <c r="S49" s="53"/>
      <c r="U49" s="45"/>
      <c r="V49" s="108"/>
    </row>
    <row r="50" spans="1:22" ht="22.5" customHeight="1">
      <c r="A50" s="12"/>
      <c r="B50" s="14"/>
      <c r="C50" s="12"/>
      <c r="D50" s="94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46"/>
      <c r="S50" s="53"/>
      <c r="U50" s="45"/>
      <c r="V50" s="108"/>
    </row>
    <row r="51" spans="1:22" ht="22.5" customHeight="1">
      <c r="A51" s="12"/>
      <c r="B51" s="14"/>
      <c r="C51" s="12"/>
      <c r="D51" s="94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46"/>
      <c r="S51" s="53"/>
      <c r="U51" s="45"/>
      <c r="V51" s="108"/>
    </row>
    <row r="52" spans="1:22" ht="22.5" customHeight="1">
      <c r="A52" s="12"/>
      <c r="B52" s="14"/>
      <c r="C52" s="12"/>
      <c r="D52" s="94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46"/>
      <c r="S52" s="53"/>
      <c r="U52" s="45"/>
      <c r="V52" s="108"/>
    </row>
    <row r="53" spans="1:22" ht="22.5" customHeight="1">
      <c r="A53" s="12"/>
      <c r="B53" s="14"/>
      <c r="C53" s="12"/>
      <c r="D53" s="94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46"/>
      <c r="S53" s="53"/>
      <c r="U53" s="45"/>
      <c r="V53" s="108"/>
    </row>
    <row r="54" spans="1:22" ht="22.5" customHeight="1">
      <c r="A54" s="12"/>
      <c r="B54" s="14"/>
      <c r="C54" s="12"/>
      <c r="D54" s="94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46"/>
      <c r="S54" s="54"/>
      <c r="U54" s="45"/>
      <c r="V54" s="108"/>
    </row>
    <row r="55" spans="1:22" ht="22.5" customHeight="1">
      <c r="A55" s="12"/>
      <c r="B55" s="14"/>
      <c r="C55" s="12"/>
      <c r="D55" s="94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46"/>
      <c r="S55" s="54"/>
      <c r="U55" s="45"/>
      <c r="V55" s="108"/>
    </row>
    <row r="56" spans="1:22" ht="22.5" customHeight="1">
      <c r="A56" s="12"/>
      <c r="B56" s="14"/>
      <c r="C56" s="12"/>
      <c r="D56" s="94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46"/>
      <c r="S56" s="54"/>
      <c r="U56" s="45"/>
      <c r="V56" s="108"/>
    </row>
    <row r="57" spans="1:22" ht="22.5" customHeight="1">
      <c r="A57" s="12"/>
      <c r="B57" s="14"/>
      <c r="C57" s="12"/>
      <c r="D57" s="94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46"/>
      <c r="S57" s="54"/>
      <c r="U57" s="45"/>
      <c r="V57" s="108"/>
    </row>
    <row r="58" spans="1:22" ht="22.5" customHeight="1">
      <c r="A58" s="12"/>
      <c r="B58" s="14"/>
      <c r="C58" s="12"/>
      <c r="D58" s="94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46"/>
      <c r="S58" s="53"/>
      <c r="U58" s="45"/>
      <c r="V58" s="108"/>
    </row>
    <row r="59" spans="1:22" ht="22.5" customHeight="1">
      <c r="A59" s="12"/>
      <c r="B59" s="14"/>
      <c r="C59" s="12"/>
      <c r="D59" s="94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46"/>
      <c r="S59" s="53"/>
      <c r="U59" s="45"/>
      <c r="V59" s="108"/>
    </row>
    <row r="60" spans="1:22" ht="22.5" customHeight="1">
      <c r="A60" s="12"/>
      <c r="B60" s="14"/>
      <c r="C60" s="12"/>
      <c r="D60" s="94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46"/>
      <c r="S60" s="53"/>
      <c r="U60" s="45"/>
      <c r="V60" s="108"/>
    </row>
    <row r="61" spans="1:22" ht="22.5" customHeight="1">
      <c r="A61" s="12"/>
      <c r="B61" s="14"/>
      <c r="C61" s="12"/>
      <c r="D61" s="94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46"/>
      <c r="S61" s="53"/>
      <c r="U61" s="47"/>
      <c r="V61" s="108"/>
    </row>
    <row r="62" spans="1:22" ht="22.5" customHeight="1">
      <c r="A62" s="12"/>
      <c r="B62" s="14"/>
      <c r="C62" s="12"/>
      <c r="D62" s="94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46"/>
      <c r="S62" s="53"/>
      <c r="U62" s="47"/>
      <c r="V62" s="108"/>
    </row>
    <row r="63" spans="1:22" ht="22.5" customHeight="1">
      <c r="A63" s="12"/>
      <c r="B63" s="14"/>
      <c r="C63" s="12"/>
      <c r="D63" s="94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6"/>
      <c r="S63" s="53"/>
      <c r="U63" s="47"/>
      <c r="V63" s="108"/>
    </row>
    <row r="64" spans="1:22" ht="22.5" customHeight="1">
      <c r="A64" s="12"/>
      <c r="B64" s="14"/>
      <c r="C64" s="12"/>
      <c r="D64" s="94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6"/>
      <c r="S64" s="53"/>
      <c r="U64" s="47"/>
      <c r="V64" s="108"/>
    </row>
    <row r="65" spans="1:22" ht="22.5" customHeight="1">
      <c r="A65" s="12"/>
      <c r="B65" s="14"/>
      <c r="C65" s="12"/>
      <c r="D65" s="94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6"/>
      <c r="S65" s="53"/>
      <c r="U65" s="47"/>
      <c r="V65" s="108"/>
    </row>
    <row r="66" spans="1:22" ht="22.5" customHeight="1">
      <c r="A66" s="12"/>
      <c r="B66" s="14"/>
      <c r="C66" s="12"/>
      <c r="D66" s="94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6"/>
      <c r="S66" s="55"/>
      <c r="U66" s="49"/>
      <c r="V66" s="108"/>
    </row>
    <row r="67" spans="1:22" ht="22.5" customHeight="1">
      <c r="A67" s="12"/>
      <c r="B67" s="14"/>
      <c r="C67" s="12"/>
      <c r="D67" s="94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6"/>
      <c r="S67" s="55"/>
      <c r="U67" s="49"/>
      <c r="V67" s="108"/>
    </row>
    <row r="68" spans="1:22" ht="22.5" customHeight="1">
      <c r="A68" s="12"/>
      <c r="B68" s="14"/>
      <c r="C68" s="12"/>
      <c r="D68" s="94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6"/>
      <c r="S68" s="55"/>
      <c r="U68" s="49"/>
      <c r="V68" s="108"/>
    </row>
    <row r="69" spans="1:22" ht="22.5" customHeight="1">
      <c r="A69" s="12"/>
      <c r="B69" s="14"/>
      <c r="C69" s="12"/>
      <c r="D69" s="94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6"/>
      <c r="S69" s="55"/>
      <c r="U69" s="49"/>
      <c r="V69" s="108"/>
    </row>
    <row r="70" spans="1:22" ht="22.5" customHeight="1">
      <c r="A70" s="12"/>
      <c r="B70" s="14"/>
      <c r="C70" s="12"/>
      <c r="D70" s="94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6"/>
      <c r="S70" s="56"/>
      <c r="U70" s="48"/>
      <c r="V70" s="108"/>
    </row>
    <row r="71" spans="1:22" ht="22.5" customHeight="1">
      <c r="A71" s="12"/>
      <c r="B71" s="14"/>
      <c r="C71" s="12"/>
      <c r="D71" s="94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6"/>
      <c r="S71" s="56"/>
      <c r="U71" s="48"/>
      <c r="V71" s="108"/>
    </row>
    <row r="72" spans="1:22" ht="22.5" customHeight="1">
      <c r="A72" s="12"/>
      <c r="B72" s="14"/>
      <c r="C72" s="12"/>
      <c r="D72" s="94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6"/>
      <c r="S72" s="56"/>
      <c r="U72" s="48"/>
      <c r="V72" s="108"/>
    </row>
    <row r="73" spans="1:22" ht="22.5" customHeight="1">
      <c r="A73" s="12"/>
      <c r="B73" s="14"/>
      <c r="C73" s="12"/>
      <c r="D73" s="94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6"/>
      <c r="S73" s="56"/>
      <c r="U73" s="48"/>
      <c r="V73" s="108"/>
    </row>
    <row r="74" spans="1:22" ht="22.5" customHeight="1">
      <c r="A74" s="12"/>
      <c r="B74" s="14"/>
      <c r="C74" s="12"/>
      <c r="D74" s="94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6"/>
      <c r="S74" s="56"/>
      <c r="U74" s="48"/>
      <c r="V74" s="108"/>
    </row>
    <row r="75" spans="1:22" ht="22.5" customHeight="1">
      <c r="A75" s="12"/>
      <c r="B75" s="14"/>
      <c r="C75" s="12"/>
      <c r="D75" s="94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6"/>
      <c r="S75" s="56"/>
      <c r="U75" s="48"/>
      <c r="V75" s="108"/>
    </row>
    <row r="76" spans="1:22" ht="22.5" customHeight="1">
      <c r="A76" s="12"/>
      <c r="B76" s="14"/>
      <c r="C76" s="12"/>
      <c r="D76" s="94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6"/>
      <c r="S76" s="56"/>
      <c r="U76" s="48"/>
      <c r="V76" s="108"/>
    </row>
    <row r="77" spans="1:22" ht="22.5" customHeight="1">
      <c r="A77" s="12"/>
      <c r="B77" s="14"/>
      <c r="C77" s="12"/>
      <c r="D77" s="94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6"/>
      <c r="S77" s="56"/>
      <c r="U77" s="48"/>
      <c r="V77" s="108"/>
    </row>
    <row r="78" spans="1:22" ht="22.5" customHeight="1">
      <c r="A78" s="12"/>
      <c r="B78" s="14"/>
      <c r="C78" s="12"/>
      <c r="D78" s="94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6"/>
      <c r="S78" s="56"/>
      <c r="U78" s="48"/>
      <c r="V78" s="108"/>
    </row>
    <row r="79" spans="1:22" ht="22.5" customHeight="1">
      <c r="A79" s="12"/>
      <c r="B79" s="14"/>
      <c r="C79" s="12"/>
      <c r="D79" s="94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6"/>
      <c r="S79" s="56"/>
      <c r="U79" s="48"/>
      <c r="V79" s="108"/>
    </row>
    <row r="80" spans="1:22" ht="22.5" customHeight="1">
      <c r="A80" s="12"/>
      <c r="B80" s="14"/>
      <c r="C80" s="12"/>
      <c r="D80" s="94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6"/>
      <c r="S80" s="56"/>
      <c r="U80" s="48"/>
      <c r="V80" s="108"/>
    </row>
    <row r="81" spans="1:22" ht="22.5" customHeight="1">
      <c r="A81" s="12"/>
      <c r="B81" s="14"/>
      <c r="C81" s="12"/>
      <c r="D81" s="94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6"/>
      <c r="S81" s="56"/>
      <c r="U81" s="48"/>
      <c r="V81" s="108"/>
    </row>
    <row r="82" spans="1:22" ht="22.5" customHeight="1">
      <c r="A82" s="12"/>
      <c r="B82" s="14"/>
      <c r="C82" s="12"/>
      <c r="D82" s="94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6"/>
      <c r="S82" s="56"/>
      <c r="U82" s="48"/>
      <c r="V82" s="108"/>
    </row>
    <row r="83" spans="1:22" ht="22.5" customHeight="1">
      <c r="A83" s="12"/>
      <c r="B83" s="14"/>
      <c r="C83" s="12"/>
      <c r="D83" s="94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6"/>
      <c r="S83" s="56"/>
      <c r="U83" s="48"/>
      <c r="V83" s="108"/>
    </row>
    <row r="84" spans="1:22" ht="22.5" customHeight="1">
      <c r="A84" s="12"/>
      <c r="B84" s="14"/>
      <c r="C84" s="12"/>
      <c r="D84" s="94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6"/>
      <c r="S84" s="56"/>
      <c r="U84" s="48"/>
      <c r="V84" s="108"/>
    </row>
    <row r="85" spans="1:22" ht="22.5" customHeight="1">
      <c r="A85" s="12"/>
      <c r="B85" s="14"/>
      <c r="C85" s="12"/>
      <c r="D85" s="94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46"/>
      <c r="S85" s="56"/>
      <c r="U85" s="48"/>
      <c r="V85" s="108"/>
    </row>
    <row r="86" spans="1:22" ht="22.5" customHeight="1">
      <c r="A86" s="12"/>
      <c r="B86" s="14"/>
      <c r="C86" s="12"/>
      <c r="D86" s="94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46"/>
      <c r="S86" s="56"/>
      <c r="U86" s="48"/>
      <c r="V86" s="108"/>
    </row>
    <row r="87" spans="1:22" ht="22.5" customHeight="1">
      <c r="A87" s="12"/>
      <c r="B87" s="14"/>
      <c r="C87" s="12"/>
      <c r="D87" s="94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46"/>
      <c r="S87" s="56"/>
      <c r="U87" s="48"/>
      <c r="V87" s="108"/>
    </row>
    <row r="88" spans="1:22" ht="22.5" customHeight="1">
      <c r="A88" s="12"/>
      <c r="B88" s="14"/>
      <c r="C88" s="12"/>
      <c r="D88" s="94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46"/>
      <c r="S88" s="56"/>
      <c r="U88" s="48"/>
      <c r="V88" s="108"/>
    </row>
    <row r="89" spans="1:22" ht="22.5" customHeight="1">
      <c r="A89" s="12"/>
      <c r="B89" s="14"/>
      <c r="C89" s="12"/>
      <c r="D89" s="9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46"/>
      <c r="S89" s="56"/>
      <c r="U89" s="48"/>
      <c r="V89" s="108"/>
    </row>
    <row r="90" spans="1:22" ht="22.5" customHeight="1">
      <c r="A90" s="12"/>
      <c r="B90" s="14"/>
      <c r="C90" s="12"/>
      <c r="D90" s="9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67"/>
      <c r="S90" s="56"/>
      <c r="U90" s="48"/>
      <c r="V90" s="108"/>
    </row>
    <row r="91" spans="1:22" ht="22.5" customHeight="1">
      <c r="A91" s="12"/>
      <c r="B91" s="14"/>
      <c r="C91" s="12"/>
      <c r="D91" s="9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67"/>
      <c r="S91" s="56"/>
      <c r="U91" s="48"/>
      <c r="V91" s="108"/>
    </row>
    <row r="92" spans="1:22" ht="22.5" customHeight="1">
      <c r="A92" s="12"/>
      <c r="B92" s="14"/>
      <c r="C92" s="12"/>
      <c r="D92" s="94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67"/>
      <c r="S92" s="56"/>
      <c r="U92" s="48"/>
      <c r="V92" s="108"/>
    </row>
    <row r="93" spans="1:22" ht="22.5" customHeight="1">
      <c r="A93" s="12"/>
      <c r="B93" s="14"/>
      <c r="C93" s="12"/>
      <c r="D93" s="94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67"/>
      <c r="S93" s="56"/>
      <c r="U93" s="48"/>
      <c r="V93" s="108"/>
    </row>
    <row r="94" spans="1:22" ht="22.5" customHeight="1">
      <c r="A94" s="12"/>
      <c r="B94" s="14"/>
      <c r="C94" s="12"/>
      <c r="D94" s="94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67"/>
      <c r="S94" s="56"/>
      <c r="U94" s="48"/>
      <c r="V94" s="108"/>
    </row>
    <row r="95" spans="1:22" ht="22.5" customHeight="1">
      <c r="A95" s="12"/>
      <c r="B95" s="14"/>
      <c r="C95" s="12"/>
      <c r="D95" s="94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67"/>
      <c r="S95" s="56"/>
      <c r="U95" s="48"/>
      <c r="V95" s="108"/>
    </row>
    <row r="96" spans="1:22" ht="22.5" customHeight="1">
      <c r="A96" s="12"/>
      <c r="B96" s="14"/>
      <c r="C96" s="12"/>
      <c r="D96" s="94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67"/>
      <c r="S96" s="56"/>
      <c r="U96" s="48"/>
      <c r="V96" s="108"/>
    </row>
    <row r="97" spans="1:23" ht="22.5" customHeight="1">
      <c r="A97" s="12"/>
      <c r="B97" s="14"/>
      <c r="C97" s="12"/>
      <c r="D97" s="94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67"/>
      <c r="S97" s="56"/>
      <c r="U97" s="48"/>
      <c r="V97" s="108"/>
    </row>
    <row r="98" spans="1:23" ht="22.5" customHeight="1">
      <c r="A98" s="12"/>
      <c r="B98" s="14"/>
      <c r="C98" s="12"/>
      <c r="D98" s="94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67"/>
      <c r="S98" s="56"/>
      <c r="U98" s="48"/>
      <c r="V98" s="108"/>
    </row>
    <row r="99" spans="1:23" ht="22.5" customHeight="1">
      <c r="A99" s="12"/>
      <c r="B99" s="14"/>
      <c r="C99" s="12"/>
      <c r="D99" s="94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67"/>
      <c r="S99" s="56"/>
      <c r="U99" s="48"/>
      <c r="V99" s="108"/>
    </row>
    <row r="100" spans="1:23" ht="22.5" customHeight="1">
      <c r="A100" s="12"/>
      <c r="B100" s="14"/>
      <c r="C100" s="12"/>
      <c r="D100" s="94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67"/>
      <c r="S100" s="57"/>
      <c r="U100" s="48"/>
      <c r="V100" s="108"/>
    </row>
    <row r="101" spans="1:23" ht="22.5" customHeight="1">
      <c r="A101" s="12"/>
      <c r="B101" s="14"/>
      <c r="C101" s="12"/>
      <c r="D101" s="94"/>
      <c r="E101" s="27"/>
      <c r="F101" s="27"/>
      <c r="G101" s="27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67"/>
      <c r="S101" s="57"/>
      <c r="U101" s="48"/>
      <c r="V101" s="108"/>
    </row>
    <row r="102" spans="1:23" ht="22.5" customHeight="1">
      <c r="A102" s="31"/>
      <c r="B102" s="31"/>
      <c r="C102" s="31"/>
      <c r="D102" s="97"/>
      <c r="E102" s="31"/>
      <c r="F102" s="31"/>
      <c r="G102" s="31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50"/>
      <c r="S102" s="30"/>
      <c r="U102" s="50"/>
      <c r="V102" s="109"/>
      <c r="W102" s="51"/>
    </row>
    <row r="103" spans="1:23" ht="22.5" customHeight="1">
      <c r="A103" s="12"/>
      <c r="B103" s="14"/>
      <c r="C103" s="12"/>
      <c r="D103" s="94"/>
    </row>
    <row r="104" spans="1:23" ht="22.5" customHeight="1">
      <c r="A104" s="12"/>
      <c r="B104" s="14"/>
      <c r="C104" s="12"/>
      <c r="D104" s="94"/>
      <c r="R104" s="67"/>
    </row>
    <row r="105" spans="1:23" ht="22.5" customHeight="1">
      <c r="R105" s="67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21</xdr:col>
                    <xdr:colOff>438150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20</xdr:col>
                    <xdr:colOff>0</xdr:colOff>
                    <xdr:row>1</xdr:row>
                    <xdr:rowOff>209550</xdr:rowOff>
                  </from>
                  <to>
                    <xdr:col>21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ddDashToProcessColumns">
                <anchor moveWithCells="1" sizeWithCells="1">
                  <from>
                    <xdr:col>21</xdr:col>
                    <xdr:colOff>533400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moveDashFromProcessColumns">
                <anchor moveWithCells="1" sizeWithCells="1">
                  <from>
                    <xdr:col>21</xdr:col>
                    <xdr:colOff>533400</xdr:colOff>
                    <xdr:row>0</xdr:row>
                    <xdr:rowOff>104775</xdr:rowOff>
                  </from>
                  <to>
                    <xdr:col>22</xdr:col>
                    <xdr:colOff>9525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D16" sqref="D16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15.12.2025</v>
      </c>
      <c r="C2" s="34" t="s">
        <v>31</v>
      </c>
      <c r="D2" s="34" t="s">
        <v>24</v>
      </c>
    </row>
    <row r="3" spans="2:4" ht="30.75" customHeight="1" thickBot="1">
      <c r="B3" s="37" t="s">
        <v>15</v>
      </c>
      <c r="C3" s="38" t="s">
        <v>43</v>
      </c>
      <c r="D3" s="38" t="s">
        <v>43</v>
      </c>
    </row>
    <row r="4" spans="2:4" ht="30.75" customHeight="1" thickBot="1">
      <c r="B4" s="37" t="s">
        <v>32</v>
      </c>
      <c r="C4" s="38" t="s">
        <v>43</v>
      </c>
      <c r="D4" s="38" t="s">
        <v>43</v>
      </c>
    </row>
    <row r="5" spans="2:4" ht="30.75" customHeight="1" thickBot="1">
      <c r="B5" s="37" t="s">
        <v>33</v>
      </c>
      <c r="C5" s="35">
        <f>Startup!E7+Startup!E9+Process!E7</f>
        <v>0</v>
      </c>
      <c r="D5" s="38">
        <f>IFERROR(Startup!R7+Startup!R9+Process!R7,0)</f>
        <v>0</v>
      </c>
    </row>
    <row r="6" spans="2:4" ht="30.75" customHeight="1" thickBot="1">
      <c r="B6" s="37" t="s">
        <v>34</v>
      </c>
      <c r="C6" s="38">
        <f>Startup!E8+Process!E9+Startup!E10</f>
        <v>0</v>
      </c>
      <c r="D6" s="38">
        <f>IFERROR(ROUND(((C6)/SUM($C$6:$C$8))*$D$5,0),0)</f>
        <v>0</v>
      </c>
    </row>
    <row r="7" spans="2:4" ht="30.75" customHeight="1" thickBot="1">
      <c r="B7" s="37" t="s">
        <v>35</v>
      </c>
      <c r="C7" s="38">
        <f>Startup!F8+Process!F9+Startup!F10</f>
        <v>0</v>
      </c>
      <c r="D7" s="38">
        <f>IFERROR(ROUND(((C7)/SUM($C$6:$C$8))*$D$5,0),0)</f>
        <v>0</v>
      </c>
    </row>
    <row r="8" spans="2:4" ht="30.75" customHeight="1" thickBot="1">
      <c r="B8" s="37" t="s">
        <v>36</v>
      </c>
      <c r="C8" s="38">
        <f>Startup!G8+Process!G9+Startup!G10</f>
        <v>0</v>
      </c>
      <c r="D8" s="38">
        <f>IFERROR(ROUND(((C8)/SUM($C$6:$C$8))*$D$5,0),0)</f>
        <v>0</v>
      </c>
    </row>
    <row r="9" spans="2:4" ht="30.75" customHeight="1" thickBot="1">
      <c r="B9" s="37" t="s">
        <v>37</v>
      </c>
      <c r="C9" s="35" t="str">
        <f>Process!E7</f>
        <v>0</v>
      </c>
      <c r="D9" s="38" t="str">
        <f>Process!R7</f>
        <v>0</v>
      </c>
    </row>
    <row r="10" spans="2:4" ht="30.75" customHeight="1" thickBot="1">
      <c r="B10" s="37" t="s">
        <v>38</v>
      </c>
      <c r="C10" s="35" t="str">
        <f>Startup!E7</f>
        <v>0</v>
      </c>
      <c r="D10" s="38">
        <f>IFERROR(Startup!R7,0)</f>
        <v>0</v>
      </c>
    </row>
    <row r="11" spans="2:4" ht="30.75" customHeight="1" thickBot="1">
      <c r="B11" s="37" t="s">
        <v>39</v>
      </c>
      <c r="C11" s="35" t="str">
        <f>Startup!E9</f>
        <v>0</v>
      </c>
      <c r="D11" s="38" t="str">
        <f>Startup!R9</f>
        <v>0</v>
      </c>
    </row>
    <row r="12" spans="2:4" ht="30.75" customHeight="1" thickBot="1">
      <c r="B12" s="37" t="s">
        <v>40</v>
      </c>
      <c r="C12" s="210">
        <f>COUNTA(Startup!I11:I388)</f>
        <v>0</v>
      </c>
      <c r="D12" s="211"/>
    </row>
    <row r="13" spans="2:4" ht="30.75" customHeight="1" thickBot="1">
      <c r="B13" s="37" t="s">
        <v>41</v>
      </c>
      <c r="C13" s="210">
        <f>COUNTA(Startup!J11:J388)</f>
        <v>0</v>
      </c>
      <c r="D13" s="211"/>
    </row>
    <row r="14" spans="2:4" ht="30.75" customHeight="1" thickBot="1">
      <c r="B14" s="37" t="s">
        <v>42</v>
      </c>
      <c r="C14" s="210">
        <f>COUNTA(Startup!H11:H388)</f>
        <v>0</v>
      </c>
      <c r="D14" s="211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7"/>
  <sheetViews>
    <sheetView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1" spans="1:5">
      <c r="A1" s="11"/>
    </row>
    <row r="2" spans="1:5" ht="123.75" customHeight="1" thickBot="1"/>
    <row r="3" spans="1:5" ht="24.95" customHeight="1">
      <c r="B3" s="212" t="s">
        <v>29</v>
      </c>
      <c r="C3" s="213"/>
    </row>
    <row r="4" spans="1:5" ht="24.95" customHeight="1">
      <c r="B4" s="6" t="s">
        <v>26</v>
      </c>
      <c r="C4" s="10" t="s">
        <v>46</v>
      </c>
      <c r="D4" s="4"/>
      <c r="E4" s="4"/>
    </row>
    <row r="5" spans="1:5" ht="24.95" customHeight="1">
      <c r="B5" s="6" t="s">
        <v>27</v>
      </c>
      <c r="C5" s="10" t="s">
        <v>47</v>
      </c>
    </row>
    <row r="6" spans="1:5" ht="24" customHeight="1">
      <c r="B6" s="6" t="s">
        <v>45</v>
      </c>
      <c r="C6" s="10">
        <v>6</v>
      </c>
    </row>
    <row r="7" spans="1:5" ht="33" customHeight="1" thickBot="1">
      <c r="B7" s="7"/>
      <c r="C7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6</xdr:row>
                    <xdr:rowOff>38100</xdr:rowOff>
                  </from>
                  <to>
                    <xdr:col>2</xdr:col>
                    <xdr:colOff>5010150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2025-12-16T10:22:16Z</dcterms:modified>
  <cp:category/>
  <cp:contentStatus/>
</cp:coreProperties>
</file>