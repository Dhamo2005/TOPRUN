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MB\REPORT TEMPLATES\"/>
    </mc:Choice>
  </mc:AlternateContent>
  <bookViews>
    <workbookView xWindow="0" yWindow="0" windowWidth="21600" windowHeight="11745" activeTab="1"/>
  </bookViews>
  <sheets>
    <sheet name="DATA" sheetId="7" r:id="rId1"/>
    <sheet name="MAN POWER SHORTAGE" sheetId="4" r:id="rId2"/>
    <sheet name="COST" sheetId="6" r:id="rId3"/>
  </sheets>
  <definedNames>
    <definedName name="_xlnm._FilterDatabase" localSheetId="0" hidden="1">DATA!$A$1:$G$31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2" i="4"/>
  <c r="I2" i="4"/>
  <c r="I3" i="4"/>
  <c r="I4" i="4"/>
  <c r="I5" i="4"/>
  <c r="I6" i="4"/>
  <c r="I7" i="4"/>
  <c r="I8" i="4"/>
  <c r="I9" i="4"/>
  <c r="I10" i="4"/>
  <c r="G11" i="4" l="1"/>
  <c r="H11" i="4"/>
  <c r="I11" i="4"/>
  <c r="J8" i="4" l="1"/>
  <c r="J10" i="4" l="1"/>
  <c r="J9" i="4"/>
  <c r="J7" i="4" l="1"/>
  <c r="J6" i="4" l="1"/>
  <c r="J5" i="4"/>
  <c r="J4" i="4"/>
  <c r="J3" i="4"/>
  <c r="J2" i="4" l="1"/>
  <c r="J11" i="4" s="1"/>
  <c r="I23" i="6"/>
  <c r="I24" i="6"/>
  <c r="I22" i="6"/>
  <c r="I21" i="6"/>
  <c r="I20" i="6"/>
  <c r="I19" i="6"/>
  <c r="I18" i="6"/>
  <c r="H18" i="6"/>
  <c r="I17" i="6"/>
  <c r="I16" i="6"/>
  <c r="H16" i="6"/>
  <c r="I15" i="6"/>
  <c r="G15" i="6"/>
  <c r="I14" i="6"/>
  <c r="G14" i="6"/>
  <c r="I13" i="6"/>
  <c r="I12" i="6"/>
  <c r="I11" i="6"/>
  <c r="H11" i="6"/>
  <c r="G11" i="6"/>
  <c r="I10" i="6"/>
  <c r="I9" i="6"/>
  <c r="I8" i="6"/>
  <c r="I7" i="6"/>
  <c r="G7" i="6"/>
  <c r="I6" i="6"/>
  <c r="G6" i="6"/>
  <c r="I5" i="6"/>
  <c r="I4" i="6"/>
</calcChain>
</file>

<file path=xl/sharedStrings.xml><?xml version="1.0" encoding="utf-8"?>
<sst xmlns="http://schemas.openxmlformats.org/spreadsheetml/2006/main" count="889" uniqueCount="264">
  <si>
    <t>Non-Operation</t>
  </si>
  <si>
    <t>JobShop</t>
  </si>
  <si>
    <t>Work Date</t>
  </si>
  <si>
    <t>Shift Type</t>
  </si>
  <si>
    <t>Start Time</t>
  </si>
  <si>
    <t>End Time</t>
  </si>
  <si>
    <t>Time</t>
  </si>
  <si>
    <t>550-II</t>
  </si>
  <si>
    <t>B</t>
  </si>
  <si>
    <t>550-III</t>
  </si>
  <si>
    <t>A</t>
  </si>
  <si>
    <t>1800-II</t>
  </si>
  <si>
    <t>2300-I</t>
  </si>
  <si>
    <t>Manpower shoratge</t>
  </si>
  <si>
    <t>650-II</t>
  </si>
  <si>
    <t>C</t>
  </si>
  <si>
    <t>1800-I</t>
  </si>
  <si>
    <t>2000-I</t>
  </si>
  <si>
    <t>2500-I</t>
  </si>
  <si>
    <t>550-I</t>
  </si>
  <si>
    <t>1050-I</t>
  </si>
  <si>
    <t>220-I</t>
  </si>
  <si>
    <t>450-I</t>
  </si>
  <si>
    <t>1050-II</t>
  </si>
  <si>
    <t>220-II</t>
  </si>
  <si>
    <t>2025-11-12 07:00:00</t>
  </si>
  <si>
    <t>2025-11-12 07:20:00</t>
  </si>
  <si>
    <t>2025-11-13 00:00:00</t>
  </si>
  <si>
    <t>2025-11-13 00:15:00</t>
  </si>
  <si>
    <t>350-I</t>
  </si>
  <si>
    <t>MC COST</t>
  </si>
  <si>
    <t>MANPOWER COST</t>
  </si>
  <si>
    <t>PRODUCTIONMANPOWER SHORTAGE DETAILS</t>
  </si>
  <si>
    <t>S.NO</t>
  </si>
  <si>
    <t>M/C ID</t>
  </si>
  <si>
    <t>DOWN TIME (Min)</t>
  </si>
  <si>
    <t>DOWN TIME (Cost)</t>
  </si>
  <si>
    <t>M/C COST(Per Min)</t>
  </si>
  <si>
    <t>TOTAL</t>
  </si>
  <si>
    <t>-</t>
  </si>
  <si>
    <t>1300-I</t>
  </si>
  <si>
    <t>650-I</t>
  </si>
  <si>
    <t>850-I</t>
  </si>
  <si>
    <t>850-II</t>
  </si>
  <si>
    <t>850-III</t>
  </si>
  <si>
    <t>850-IV</t>
  </si>
  <si>
    <t>MANPOWER</t>
  </si>
  <si>
    <t>Detail</t>
  </si>
  <si>
    <t>Member Qty</t>
  </si>
  <si>
    <t>Man Hour</t>
  </si>
  <si>
    <t>Place</t>
  </si>
  <si>
    <t>Caused Dept</t>
  </si>
  <si>
    <t>Outsourcing Corp.</t>
  </si>
  <si>
    <t>Remark</t>
  </si>
  <si>
    <t>Create Date</t>
  </si>
  <si>
    <t>Create By</t>
  </si>
  <si>
    <t>Lunch</t>
  </si>
  <si>
    <t>2025-11-12 20:45:00</t>
  </si>
  <si>
    <t>2025-11-12 21:00:00</t>
  </si>
  <si>
    <t/>
  </si>
  <si>
    <t>Inside Company</t>
  </si>
  <si>
    <t>1</t>
  </si>
  <si>
    <t>2025-11-12 22:29:11</t>
  </si>
  <si>
    <t>JAYAKUMAR G</t>
  </si>
  <si>
    <t>2025-11-12 20:00:00</t>
  </si>
  <si>
    <t>2025-11-12 20:30:00</t>
  </si>
  <si>
    <t>DINNER</t>
  </si>
  <si>
    <t>2025-11-12 23:02:36</t>
  </si>
  <si>
    <t>PURUSOTHAMAN S</t>
  </si>
  <si>
    <t>2025-11-12 16:34:18</t>
  </si>
  <si>
    <t>MOHAN D</t>
  </si>
  <si>
    <t>2025-11-13 06:40:14</t>
  </si>
  <si>
    <t>SELVAKUMAR N</t>
  </si>
  <si>
    <t>Mold Change</t>
  </si>
  <si>
    <t>mould unloding</t>
  </si>
  <si>
    <t>2025-11-13 07:10:24</t>
  </si>
  <si>
    <t>SANTHOSH KUMAR D</t>
  </si>
  <si>
    <t>2025-11-13 04:45:00</t>
  </si>
  <si>
    <t>2025-11-13 05:00:00</t>
  </si>
  <si>
    <t>mould loding</t>
  </si>
  <si>
    <t>2025-11-13 07:10:54</t>
  </si>
  <si>
    <t>2025-11-12 20:05:00</t>
  </si>
  <si>
    <t>2025-11-12 20:35:00</t>
  </si>
  <si>
    <t>2025-11-12 22:23:15</t>
  </si>
  <si>
    <t>2025-11-12 15:00:00</t>
  </si>
  <si>
    <t>2025-11-12 15:29:59</t>
  </si>
  <si>
    <t>mould change</t>
  </si>
  <si>
    <t>2025-11-12 15:22:05</t>
  </si>
  <si>
    <t xml:space="preserve">YUVARAJ E
</t>
  </si>
  <si>
    <t>2025-11-12 22:45:00</t>
  </si>
  <si>
    <t>2025-11-12 23:15:00</t>
  </si>
  <si>
    <t>2025-11-12 23:49:08</t>
  </si>
  <si>
    <t>2025-11-13 01:00:00</t>
  </si>
  <si>
    <t>2025-11-13 01:30:00</t>
  </si>
  <si>
    <t>2025-11-13 06:31:05</t>
  </si>
  <si>
    <t>2025-11-12 07:30:00</t>
  </si>
  <si>
    <t>mould change duct deforestern lhd</t>
  </si>
  <si>
    <t>2025-11-12 11:44:43</t>
  </si>
  <si>
    <t>2025-11-12 21:20:00</t>
  </si>
  <si>
    <t>2025-11-12 22:00:00</t>
  </si>
  <si>
    <t>MOULD CHANGE</t>
  </si>
  <si>
    <t>2025-11-12 23:03:22</t>
  </si>
  <si>
    <t>2025-11-13 02:10:00</t>
  </si>
  <si>
    <t>2025-11-13 02:30:07</t>
  </si>
  <si>
    <t>SU2I FL SIDE SILL N LINE  MOULD UNLOAD</t>
  </si>
  <si>
    <t>2025-11-13 06:49:41</t>
  </si>
  <si>
    <t>2025-11-13 02:55:00</t>
  </si>
  <si>
    <t>2025-11-13 03:15:00</t>
  </si>
  <si>
    <t xml:space="preserve">MOULD LOAD SU2I SIDE SILL OPT </t>
  </si>
  <si>
    <t>2025-11-13 06:53:31</t>
  </si>
  <si>
    <t>2025-11-12 15:30:00</t>
  </si>
  <si>
    <t>2025-11-12 16:00:00</t>
  </si>
  <si>
    <t>mould loading</t>
  </si>
  <si>
    <t>2025-11-13 00:04:37</t>
  </si>
  <si>
    <t>2025-11-12 12:40:00</t>
  </si>
  <si>
    <t>2025-11-12 13:40:00</t>
  </si>
  <si>
    <t>2025-11-12 16:48:16</t>
  </si>
  <si>
    <t>2025-11-13 06:40:00</t>
  </si>
  <si>
    <t>2025-11-13 06:59:59</t>
  </si>
  <si>
    <t>MOLD LOADING</t>
  </si>
  <si>
    <t>2025-11-13 06:58:04</t>
  </si>
  <si>
    <t>2025-11-13 02:35:00</t>
  </si>
  <si>
    <t>MOLD UNLOADING</t>
  </si>
  <si>
    <t>2025-11-13 06:57:01</t>
  </si>
  <si>
    <t>Colour Change</t>
  </si>
  <si>
    <t>2025-11-12 20:55:00</t>
  </si>
  <si>
    <t>2025-11-12 22:23:29</t>
  </si>
  <si>
    <t>2025-11-12 22:21:33</t>
  </si>
  <si>
    <t>2025-11-13 03:25:00</t>
  </si>
  <si>
    <t>2025-11-13 03:45:00</t>
  </si>
  <si>
    <t>2025-11-13 06:10:19</t>
  </si>
  <si>
    <t>2025-11-12 10:35:00</t>
  </si>
  <si>
    <t>2025-11-12 10:50:00</t>
  </si>
  <si>
    <t>ypk to mmh</t>
  </si>
  <si>
    <t>2025-11-12 11:35:33</t>
  </si>
  <si>
    <t>2025-11-12 21:45:00</t>
  </si>
  <si>
    <t>2025-11-12 22:33:16</t>
  </si>
  <si>
    <t>2025-11-12 22:20:08</t>
  </si>
  <si>
    <t>2025-11-12 23:50:08</t>
  </si>
  <si>
    <t>NNB TO MMH CHANGE</t>
  </si>
  <si>
    <t>2025-11-12 23:58:07</t>
  </si>
  <si>
    <t>2025-11-12 14:10:00</t>
  </si>
  <si>
    <t>2025-11-12 14:30:00</t>
  </si>
  <si>
    <t>2025-11-12 15:15:12</t>
  </si>
  <si>
    <t xml:space="preserve">KALAIMATHI R
</t>
  </si>
  <si>
    <t>2025-11-13 02:40:00</t>
  </si>
  <si>
    <t>2025-11-13 03:10:00</t>
  </si>
  <si>
    <t>YBK TO NNB</t>
  </si>
  <si>
    <t>2025-11-13 06:02:58</t>
  </si>
  <si>
    <t>2025-11-12 20:40:00</t>
  </si>
  <si>
    <t>COLOUR CHANGE NNB TO YGN</t>
  </si>
  <si>
    <t>2025-11-12 23:04:29</t>
  </si>
  <si>
    <t>2025-11-12 16:40:00</t>
  </si>
  <si>
    <t>2025-11-12 17:10:00</t>
  </si>
  <si>
    <t>YGN TO NNB</t>
  </si>
  <si>
    <t>2025-11-13 01:30:27</t>
  </si>
  <si>
    <t>2025-11-13 02:20:04</t>
  </si>
  <si>
    <t>2025-11-13 03:10:04</t>
  </si>
  <si>
    <t xml:space="preserve">nnb to ygn </t>
  </si>
  <si>
    <t>2025-11-13 06:23:01</t>
  </si>
  <si>
    <t>2025-11-12 14:20:00</t>
  </si>
  <si>
    <t>WDN TO BK</t>
  </si>
  <si>
    <t>2025-11-12 16:49:09</t>
  </si>
  <si>
    <t>2025-11-12 18:00:00</t>
  </si>
  <si>
    <t>2025-11-12 18:45:00</t>
  </si>
  <si>
    <t>nnb to ygn colur change</t>
  </si>
  <si>
    <t>2025-11-12 23:00:52</t>
  </si>
  <si>
    <t>2025-11-12 07:40:00</t>
  </si>
  <si>
    <t xml:space="preserve">ygn to nnb </t>
  </si>
  <si>
    <t>2025-11-12 15:23:48</t>
  </si>
  <si>
    <t>Crane busy</t>
  </si>
  <si>
    <t>2025-11-12 12:00:00</t>
  </si>
  <si>
    <t>2025-11-12 12:30:00</t>
  </si>
  <si>
    <t>RM STORE USING</t>
  </si>
  <si>
    <t>2025-11-12 16:47:03</t>
  </si>
  <si>
    <t>Mould Breakdown</t>
  </si>
  <si>
    <t>2025-11-12 23:59:59</t>
  </si>
  <si>
    <t>running time cavity 2 magnet pin damage</t>
  </si>
  <si>
    <t>2025-11-13 00:16:54</t>
  </si>
  <si>
    <t>2025-11-13 04:00:00</t>
  </si>
  <si>
    <t>2025-11-13 04:40:00</t>
  </si>
  <si>
    <t>3ND CORE SINGAL ISSUE</t>
  </si>
  <si>
    <t>2025-11-13 06:06:52</t>
  </si>
  <si>
    <t>2025-11-13 01:45:00</t>
  </si>
  <si>
    <t>2025-11-13 02:10:07</t>
  </si>
  <si>
    <t xml:space="preserve">EJECTION IFTER BACKWART ISSUE </t>
  </si>
  <si>
    <t>2025-11-13 06:48:16</t>
  </si>
  <si>
    <t>2025-11-12 17:20:00</t>
  </si>
  <si>
    <t>2025-11-12 17:45:00</t>
  </si>
  <si>
    <t>FLASH ISSUE</t>
  </si>
  <si>
    <t>2025-11-12 23:02:14</t>
  </si>
  <si>
    <t>2025-11-13 01:00:14</t>
  </si>
  <si>
    <t>2025-11-13 01:20:04</t>
  </si>
  <si>
    <t xml:space="preserve">SCORING ISSUE </t>
  </si>
  <si>
    <t>2025-11-13 06:56:11</t>
  </si>
  <si>
    <t>MC BREAKDOWN</t>
  </si>
  <si>
    <t>2025-11-12 23:00:00</t>
  </si>
  <si>
    <t>running time machine power off issue</t>
  </si>
  <si>
    <t>2025-11-13 00:07:53</t>
  </si>
  <si>
    <t>2025-11-12 18:20:00</t>
  </si>
  <si>
    <t>2025-11-12 18:40:00</t>
  </si>
  <si>
    <t>HALF NUT CLOSING ALARM</t>
  </si>
  <si>
    <t>2025-11-12 23:05:34</t>
  </si>
  <si>
    <t>2025-11-12 23:10:00</t>
  </si>
  <si>
    <t>2025-11-12 23:30:00</t>
  </si>
  <si>
    <t>MOULD CLOSING ISSUE</t>
  </si>
  <si>
    <t>2025-11-13 00:27:24</t>
  </si>
  <si>
    <t>2025-11-13 00:20:58</t>
  </si>
  <si>
    <t>2025-11-13 00:50:08</t>
  </si>
  <si>
    <t xml:space="preserve">MOULD CLOSING ISSUE </t>
  </si>
  <si>
    <t>2025-11-13 07:07:49</t>
  </si>
  <si>
    <t>2025-11-13 05:00:08</t>
  </si>
  <si>
    <t>2025-11-13 07:08:08</t>
  </si>
  <si>
    <t>2025-11-13 05:20:00</t>
  </si>
  <si>
    <t>2025-11-13 07:08:28</t>
  </si>
  <si>
    <t>2025-11-12 07:25:00</t>
  </si>
  <si>
    <t>2025-11-12 07:50:00</t>
  </si>
  <si>
    <t xml:space="preserve">half nut popne issue </t>
  </si>
  <si>
    <t>2025-11-12 15:18:57</t>
  </si>
  <si>
    <t xml:space="preserve">TONNAGE ISSUE </t>
  </si>
  <si>
    <t>2025-11-13 06:54:11</t>
  </si>
  <si>
    <t>2025-11-12 14:45:00</t>
  </si>
  <si>
    <t>CLAMPING FORCE TO LOW</t>
  </si>
  <si>
    <t>2025-11-12 16:51:41</t>
  </si>
  <si>
    <t>2025-11-12 10:00:00</t>
  </si>
  <si>
    <t>2025-11-12 10:30:00</t>
  </si>
  <si>
    <t>2025-11-12 16:38:12</t>
  </si>
  <si>
    <t>Material coveying prob</t>
  </si>
  <si>
    <t>2025-11-12 15:45:00</t>
  </si>
  <si>
    <t>2025-11-12 15:55:00</t>
  </si>
  <si>
    <t>METERIAL CONWAY PROBLEM</t>
  </si>
  <si>
    <t>2025-11-12 23:01:45</t>
  </si>
  <si>
    <t>EB Power cut</t>
  </si>
  <si>
    <t>2025-11-12 14:25:00</t>
  </si>
  <si>
    <t>2025-11-12 14:40:00</t>
  </si>
  <si>
    <t>power change</t>
  </si>
  <si>
    <t>2025-11-12 15:20:44</t>
  </si>
  <si>
    <t>2025-11-12 09:00:00</t>
  </si>
  <si>
    <t>2025-11-12 09:20:00</t>
  </si>
  <si>
    <t>power cut</t>
  </si>
  <si>
    <t>2025-11-12 11:34:47</t>
  </si>
  <si>
    <t>2025-11-12 09:15:00</t>
  </si>
  <si>
    <t>2025-11-12 15:14:25</t>
  </si>
  <si>
    <t>2025-11-12 15:15:40</t>
  </si>
  <si>
    <t>2025-11-12 15:19:24</t>
  </si>
  <si>
    <t>2025-11-12 14:35:00</t>
  </si>
  <si>
    <t>2025-11-12 15:19:59</t>
  </si>
  <si>
    <t xml:space="preserve">POWER CHANGE </t>
  </si>
  <si>
    <t>2025-11-12 16:49:49</t>
  </si>
  <si>
    <t>2025-11-12 16:34:54</t>
  </si>
  <si>
    <t>2025-11-12 15:24:11</t>
  </si>
  <si>
    <t>2025-11-12 14:50:00</t>
  </si>
  <si>
    <t>2025-11-12 15:24:49</t>
  </si>
  <si>
    <t>NON ACCEPT D/TIME</t>
  </si>
  <si>
    <t xml:space="preserve">MACHINE RUNING TIME OVER PAKCE AND SHORTFILL ISSUE  </t>
  </si>
  <si>
    <t>2025-11-12 15:38:50</t>
  </si>
  <si>
    <t>TOTAL COST</t>
  </si>
  <si>
    <t>2026-02-11 15:30:00</t>
  </si>
  <si>
    <t>2026-02-11 16:15:00</t>
  </si>
  <si>
    <t>2026-02-12 00:00:00</t>
  </si>
  <si>
    <t>2026-02-12 00:30:00</t>
  </si>
  <si>
    <t>2026-02-12 04:15:00</t>
  </si>
  <si>
    <t>2026-02-12 06:59:59</t>
  </si>
  <si>
    <t>2026-02-12 01:00:00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</si>
</sst>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/mm\/dd"/>
    <numFmt numFmtId="165" formatCode="###,##0"/>
    <numFmt numFmtId="166" formatCode="0.0"/>
    <numFmt numFmtId="167" formatCode="###,##0.00"/>
  </numFmts>
  <fonts count="8">
    <font>
      <sz val="11"/>
      <color theme="1"/>
      <name val="Calibri"/>
      <family val="2"/>
      <scheme val="minor"/>
    </font>
    <font>
      <b/>
      <sz val="9"/>
      <color rgb="FF363636"/>
      <name val="굴림"/>
    </font>
    <font>
      <sz val="9"/>
      <color rgb="FF363636"/>
      <name val="굴림"/>
    </font>
    <font>
      <sz val="9"/>
      <color rgb="FF222222"/>
      <name val="굴림"/>
    </font>
    <font>
      <sz val="9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rgb="FFED0000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D2D8E1"/>
        <bgColor indexed="64"/>
      </patternFill>
    </fill>
    <fill>
      <patternFill patternType="solid">
        <fgColor rgb="FFF3F5F6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165" fontId="2" fillId="3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4" fillId="0" borderId="4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0" fillId="0" borderId="5" xfId="0" applyBorder="1"/>
    <xf numFmtId="164" fontId="3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167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165" fontId="2" fillId="3" borderId="2" xfId="0" applyNumberFormat="1" applyFont="1" applyFill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1066800</xdr:colOff>
      <xdr:row>0</xdr:row>
      <xdr:rowOff>57150</xdr:rowOff>
    </xdr:from>
    <xdr:ext cx="832023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943600" y="57150"/>
          <a:ext cx="8320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03.04.2025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activeCell="O11" sqref="O11"/>
    </sheetView>
  </sheetViews>
  <sheetFormatPr defaultColWidth="85.7109375" defaultRowHeight="26.25" customHeight="1"/>
  <cols>
    <col min="1" max="1" width="18.5703125" style="20" bestFit="1" customWidth="1"/>
    <col min="2" max="2" width="8.140625" style="20" bestFit="1" customWidth="1"/>
    <col min="3" max="3" width="9.85546875" style="20" bestFit="1" customWidth="1"/>
    <col min="4" max="4" width="9" style="20" bestFit="1" customWidth="1"/>
    <col min="5" max="6" width="17.7109375" style="20" bestFit="1" customWidth="1"/>
    <col min="7" max="7" width="5" style="20" bestFit="1" customWidth="1"/>
    <col min="8" max="8" width="5.5703125" style="20" bestFit="1" customWidth="1"/>
    <col min="9" max="9" width="10.85546875" style="20" bestFit="1" customWidth="1"/>
    <col min="10" max="10" width="8.7109375" style="20" bestFit="1" customWidth="1"/>
    <col min="11" max="11" width="14" style="20" bestFit="1" customWidth="1"/>
    <col min="12" max="12" width="11.28515625" style="20" bestFit="1" customWidth="1"/>
    <col min="13" max="13" width="15.85546875" style="20" bestFit="1" customWidth="1"/>
    <col min="14" max="14" width="5.5703125" style="20" bestFit="1" customWidth="1"/>
    <col min="15" max="15" width="52.42578125" style="20" bestFit="1" customWidth="1"/>
    <col min="16" max="16" width="17.7109375" style="20" bestFit="1" customWidth="1"/>
    <col min="17" max="17" width="18.85546875" style="20" bestFit="1" customWidth="1"/>
    <col min="18" max="16384" width="85.7109375" style="20"/>
  </cols>
  <sheetData>
    <row r="1" spans="1:17" ht="26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50</v>
      </c>
      <c r="O1" s="2" t="s">
        <v>53</v>
      </c>
      <c r="P1" s="2" t="s">
        <v>54</v>
      </c>
      <c r="Q1" s="2" t="s">
        <v>55</v>
      </c>
    </row>
    <row r="2" spans="1:17" ht="26.25" customHeight="1">
      <c r="A2" s="21" t="s">
        <v>56</v>
      </c>
      <c r="B2" s="21" t="s">
        <v>19</v>
      </c>
      <c r="C2" s="22">
        <v>45973</v>
      </c>
      <c r="D2" s="21" t="s">
        <v>8</v>
      </c>
      <c r="E2" s="21" t="s">
        <v>57</v>
      </c>
      <c r="F2" s="21" t="s">
        <v>58</v>
      </c>
      <c r="G2" s="23">
        <v>15</v>
      </c>
      <c r="H2" s="21" t="s">
        <v>59</v>
      </c>
      <c r="I2" s="24">
        <v>0</v>
      </c>
      <c r="J2" s="24">
        <v>1</v>
      </c>
      <c r="K2" s="21" t="s">
        <v>60</v>
      </c>
      <c r="L2" s="21" t="s">
        <v>59</v>
      </c>
      <c r="M2" s="21" t="s">
        <v>59</v>
      </c>
      <c r="N2" s="21" t="s">
        <v>61</v>
      </c>
      <c r="O2" s="21" t="s">
        <v>59</v>
      </c>
      <c r="P2" s="21" t="s">
        <v>62</v>
      </c>
      <c r="Q2" s="21" t="s">
        <v>63</v>
      </c>
    </row>
    <row r="3" spans="1:17" ht="26.25" customHeight="1">
      <c r="A3" s="17" t="s">
        <v>56</v>
      </c>
      <c r="B3" s="17" t="s">
        <v>12</v>
      </c>
      <c r="C3" s="16">
        <v>45973</v>
      </c>
      <c r="D3" s="17" t="s">
        <v>8</v>
      </c>
      <c r="E3" s="17" t="s">
        <v>64</v>
      </c>
      <c r="F3" s="17" t="s">
        <v>65</v>
      </c>
      <c r="G3" s="3">
        <v>30</v>
      </c>
      <c r="H3" s="17" t="s">
        <v>59</v>
      </c>
      <c r="I3" s="25">
        <v>0</v>
      </c>
      <c r="J3" s="25">
        <v>1</v>
      </c>
      <c r="K3" s="17" t="s">
        <v>60</v>
      </c>
      <c r="L3" s="17" t="s">
        <v>59</v>
      </c>
      <c r="M3" s="17" t="s">
        <v>59</v>
      </c>
      <c r="N3" s="19" t="s">
        <v>61</v>
      </c>
      <c r="O3" s="17" t="s">
        <v>66</v>
      </c>
      <c r="P3" s="17" t="s">
        <v>67</v>
      </c>
      <c r="Q3" s="17" t="s">
        <v>68</v>
      </c>
    </row>
    <row r="4" spans="1:17" ht="26.25" customHeight="1">
      <c r="A4" s="19" t="s">
        <v>13</v>
      </c>
      <c r="B4" s="19" t="s">
        <v>12</v>
      </c>
      <c r="C4" s="18">
        <v>45973</v>
      </c>
      <c r="D4" s="19" t="s">
        <v>10</v>
      </c>
      <c r="E4" s="19" t="s">
        <v>25</v>
      </c>
      <c r="F4" s="19" t="s">
        <v>26</v>
      </c>
      <c r="G4" s="4">
        <v>20</v>
      </c>
      <c r="H4" s="19" t="s">
        <v>59</v>
      </c>
      <c r="I4" s="26">
        <v>0</v>
      </c>
      <c r="J4" s="26">
        <v>1</v>
      </c>
      <c r="K4" s="19" t="s">
        <v>60</v>
      </c>
      <c r="L4" s="19" t="s">
        <v>59</v>
      </c>
      <c r="M4" s="19" t="s">
        <v>59</v>
      </c>
      <c r="N4" s="19" t="s">
        <v>61</v>
      </c>
      <c r="O4" s="19" t="s">
        <v>59</v>
      </c>
      <c r="P4" s="19" t="s">
        <v>69</v>
      </c>
      <c r="Q4" s="19" t="s">
        <v>70</v>
      </c>
    </row>
    <row r="5" spans="1:17" ht="26.25" customHeight="1">
      <c r="A5" s="17" t="s">
        <v>13</v>
      </c>
      <c r="B5" s="17" t="s">
        <v>18</v>
      </c>
      <c r="C5" s="16">
        <v>45973</v>
      </c>
      <c r="D5" s="17" t="s">
        <v>15</v>
      </c>
      <c r="E5" s="17" t="s">
        <v>27</v>
      </c>
      <c r="F5" s="17" t="s">
        <v>28</v>
      </c>
      <c r="G5" s="3">
        <v>15</v>
      </c>
      <c r="H5" s="17" t="s">
        <v>59</v>
      </c>
      <c r="I5" s="25">
        <v>0</v>
      </c>
      <c r="J5" s="25">
        <v>1</v>
      </c>
      <c r="K5" s="17" t="s">
        <v>60</v>
      </c>
      <c r="L5" s="17" t="s">
        <v>59</v>
      </c>
      <c r="M5" s="17" t="s">
        <v>59</v>
      </c>
      <c r="N5" s="19" t="s">
        <v>61</v>
      </c>
      <c r="O5" s="17" t="s">
        <v>59</v>
      </c>
      <c r="P5" s="17" t="s">
        <v>71</v>
      </c>
      <c r="Q5" s="17" t="s">
        <v>72</v>
      </c>
    </row>
    <row r="6" spans="1:17" ht="26.25" customHeight="1">
      <c r="A6" s="17" t="s">
        <v>73</v>
      </c>
      <c r="B6" s="17" t="s">
        <v>21</v>
      </c>
      <c r="C6" s="16">
        <v>45973</v>
      </c>
      <c r="D6" s="17" t="s">
        <v>15</v>
      </c>
      <c r="E6" s="17" t="s">
        <v>27</v>
      </c>
      <c r="F6" s="17" t="s">
        <v>28</v>
      </c>
      <c r="G6" s="3">
        <v>15</v>
      </c>
      <c r="H6" s="17" t="s">
        <v>59</v>
      </c>
      <c r="I6" s="25">
        <v>0</v>
      </c>
      <c r="J6" s="25">
        <v>1</v>
      </c>
      <c r="K6" s="17" t="s">
        <v>60</v>
      </c>
      <c r="L6" s="17" t="s">
        <v>59</v>
      </c>
      <c r="M6" s="17" t="s">
        <v>59</v>
      </c>
      <c r="N6" s="19" t="s">
        <v>61</v>
      </c>
      <c r="O6" s="17" t="s">
        <v>74</v>
      </c>
      <c r="P6" s="17" t="s">
        <v>75</v>
      </c>
      <c r="Q6" s="17" t="s">
        <v>76</v>
      </c>
    </row>
    <row r="7" spans="1:17" ht="26.25" customHeight="1">
      <c r="A7" s="19" t="s">
        <v>73</v>
      </c>
      <c r="B7" s="19" t="s">
        <v>21</v>
      </c>
      <c r="C7" s="18">
        <v>45973</v>
      </c>
      <c r="D7" s="19" t="s">
        <v>15</v>
      </c>
      <c r="E7" s="19" t="s">
        <v>77</v>
      </c>
      <c r="F7" s="19" t="s">
        <v>78</v>
      </c>
      <c r="G7" s="4">
        <v>15</v>
      </c>
      <c r="H7" s="19" t="s">
        <v>59</v>
      </c>
      <c r="I7" s="26">
        <v>0</v>
      </c>
      <c r="J7" s="26">
        <v>1</v>
      </c>
      <c r="K7" s="19" t="s">
        <v>60</v>
      </c>
      <c r="L7" s="19" t="s">
        <v>59</v>
      </c>
      <c r="M7" s="19" t="s">
        <v>59</v>
      </c>
      <c r="N7" s="19" t="s">
        <v>61</v>
      </c>
      <c r="O7" s="19" t="s">
        <v>79</v>
      </c>
      <c r="P7" s="19" t="s">
        <v>80</v>
      </c>
      <c r="Q7" s="19" t="s">
        <v>76</v>
      </c>
    </row>
    <row r="8" spans="1:17" ht="26.25" customHeight="1">
      <c r="A8" s="17" t="s">
        <v>73</v>
      </c>
      <c r="B8" s="17" t="s">
        <v>21</v>
      </c>
      <c r="C8" s="16">
        <v>45973</v>
      </c>
      <c r="D8" s="17" t="s">
        <v>8</v>
      </c>
      <c r="E8" s="17" t="s">
        <v>81</v>
      </c>
      <c r="F8" s="17" t="s">
        <v>82</v>
      </c>
      <c r="G8" s="3">
        <v>30</v>
      </c>
      <c r="H8" s="17" t="s">
        <v>59</v>
      </c>
      <c r="I8" s="25">
        <v>0</v>
      </c>
      <c r="J8" s="25">
        <v>1</v>
      </c>
      <c r="K8" s="17" t="s">
        <v>60</v>
      </c>
      <c r="L8" s="17" t="s">
        <v>59</v>
      </c>
      <c r="M8" s="17" t="s">
        <v>59</v>
      </c>
      <c r="N8" s="19" t="s">
        <v>61</v>
      </c>
      <c r="O8" s="17" t="s">
        <v>59</v>
      </c>
      <c r="P8" s="17" t="s">
        <v>83</v>
      </c>
      <c r="Q8" s="17" t="s">
        <v>63</v>
      </c>
    </row>
    <row r="9" spans="1:17" ht="26.25" customHeight="1">
      <c r="A9" s="19" t="s">
        <v>73</v>
      </c>
      <c r="B9" s="19" t="s">
        <v>24</v>
      </c>
      <c r="C9" s="18">
        <v>45973</v>
      </c>
      <c r="D9" s="19" t="s">
        <v>10</v>
      </c>
      <c r="E9" s="19" t="s">
        <v>84</v>
      </c>
      <c r="F9" s="19" t="s">
        <v>85</v>
      </c>
      <c r="G9" s="4">
        <v>30</v>
      </c>
      <c r="H9" s="19" t="s">
        <v>59</v>
      </c>
      <c r="I9" s="26">
        <v>0</v>
      </c>
      <c r="J9" s="26">
        <v>1</v>
      </c>
      <c r="K9" s="19" t="s">
        <v>60</v>
      </c>
      <c r="L9" s="19" t="s">
        <v>59</v>
      </c>
      <c r="M9" s="19" t="s">
        <v>59</v>
      </c>
      <c r="N9" s="19" t="s">
        <v>61</v>
      </c>
      <c r="O9" s="19" t="s">
        <v>86</v>
      </c>
      <c r="P9" s="19" t="s">
        <v>87</v>
      </c>
      <c r="Q9" s="19" t="s">
        <v>88</v>
      </c>
    </row>
    <row r="10" spans="1:17" ht="26.25" customHeight="1">
      <c r="A10" s="17" t="s">
        <v>73</v>
      </c>
      <c r="B10" s="17" t="s">
        <v>22</v>
      </c>
      <c r="C10" s="16">
        <v>45973</v>
      </c>
      <c r="D10" s="17" t="s">
        <v>8</v>
      </c>
      <c r="E10" s="17" t="s">
        <v>89</v>
      </c>
      <c r="F10" s="17" t="s">
        <v>90</v>
      </c>
      <c r="G10" s="3">
        <v>30</v>
      </c>
      <c r="H10" s="17" t="s">
        <v>59</v>
      </c>
      <c r="I10" s="25">
        <v>0</v>
      </c>
      <c r="J10" s="25">
        <v>1</v>
      </c>
      <c r="K10" s="17" t="s">
        <v>60</v>
      </c>
      <c r="L10" s="17" t="s">
        <v>59</v>
      </c>
      <c r="M10" s="17" t="s">
        <v>59</v>
      </c>
      <c r="N10" s="19" t="s">
        <v>61</v>
      </c>
      <c r="O10" s="17" t="s">
        <v>59</v>
      </c>
      <c r="P10" s="17" t="s">
        <v>91</v>
      </c>
      <c r="Q10" s="17" t="s">
        <v>63</v>
      </c>
    </row>
    <row r="11" spans="1:17" ht="26.25" customHeight="1">
      <c r="A11" s="19" t="s">
        <v>73</v>
      </c>
      <c r="B11" s="19" t="s">
        <v>9</v>
      </c>
      <c r="C11" s="18">
        <v>45973</v>
      </c>
      <c r="D11" s="19" t="s">
        <v>15</v>
      </c>
      <c r="E11" s="19" t="s">
        <v>92</v>
      </c>
      <c r="F11" s="19" t="s">
        <v>93</v>
      </c>
      <c r="G11" s="4">
        <v>30</v>
      </c>
      <c r="H11" s="19" t="s">
        <v>59</v>
      </c>
      <c r="I11" s="26">
        <v>0</v>
      </c>
      <c r="J11" s="26">
        <v>1</v>
      </c>
      <c r="K11" s="19" t="s">
        <v>60</v>
      </c>
      <c r="L11" s="19" t="s">
        <v>59</v>
      </c>
      <c r="M11" s="19" t="s">
        <v>59</v>
      </c>
      <c r="N11" s="19" t="s">
        <v>61</v>
      </c>
      <c r="O11" s="19" t="s">
        <v>59</v>
      </c>
      <c r="P11" s="19" t="s">
        <v>94</v>
      </c>
      <c r="Q11" s="19" t="s">
        <v>76</v>
      </c>
    </row>
    <row r="12" spans="1:17" ht="26.25" customHeight="1">
      <c r="A12" s="17" t="s">
        <v>73</v>
      </c>
      <c r="B12" s="17" t="s">
        <v>14</v>
      </c>
      <c r="C12" s="16">
        <v>45973</v>
      </c>
      <c r="D12" s="17" t="s">
        <v>10</v>
      </c>
      <c r="E12" s="17" t="s">
        <v>25</v>
      </c>
      <c r="F12" s="17" t="s">
        <v>95</v>
      </c>
      <c r="G12" s="3">
        <v>30</v>
      </c>
      <c r="H12" s="17" t="s">
        <v>59</v>
      </c>
      <c r="I12" s="25">
        <v>0</v>
      </c>
      <c r="J12" s="25">
        <v>1</v>
      </c>
      <c r="K12" s="17" t="s">
        <v>60</v>
      </c>
      <c r="L12" s="17" t="s">
        <v>59</v>
      </c>
      <c r="M12" s="17" t="s">
        <v>59</v>
      </c>
      <c r="N12" s="19" t="s">
        <v>61</v>
      </c>
      <c r="O12" s="17" t="s">
        <v>96</v>
      </c>
      <c r="P12" s="17" t="s">
        <v>97</v>
      </c>
      <c r="Q12" s="17" t="s">
        <v>70</v>
      </c>
    </row>
    <row r="13" spans="1:17" ht="26.25" customHeight="1">
      <c r="A13" s="19" t="s">
        <v>73</v>
      </c>
      <c r="B13" s="19" t="s">
        <v>17</v>
      </c>
      <c r="C13" s="18">
        <v>45973</v>
      </c>
      <c r="D13" s="19" t="s">
        <v>8</v>
      </c>
      <c r="E13" s="19" t="s">
        <v>98</v>
      </c>
      <c r="F13" s="19" t="s">
        <v>99</v>
      </c>
      <c r="G13" s="4">
        <v>40</v>
      </c>
      <c r="H13" s="19" t="s">
        <v>59</v>
      </c>
      <c r="I13" s="26">
        <v>0</v>
      </c>
      <c r="J13" s="26">
        <v>1</v>
      </c>
      <c r="K13" s="19" t="s">
        <v>60</v>
      </c>
      <c r="L13" s="19" t="s">
        <v>59</v>
      </c>
      <c r="M13" s="19" t="s">
        <v>59</v>
      </c>
      <c r="N13" s="19" t="s">
        <v>61</v>
      </c>
      <c r="O13" s="19" t="s">
        <v>100</v>
      </c>
      <c r="P13" s="19" t="s">
        <v>101</v>
      </c>
      <c r="Q13" s="19" t="s">
        <v>68</v>
      </c>
    </row>
    <row r="14" spans="1:17" ht="26.25" customHeight="1">
      <c r="A14" s="17" t="s">
        <v>73</v>
      </c>
      <c r="B14" s="17" t="s">
        <v>11</v>
      </c>
      <c r="C14" s="16">
        <v>45973</v>
      </c>
      <c r="D14" s="17" t="s">
        <v>15</v>
      </c>
      <c r="E14" s="17" t="s">
        <v>102</v>
      </c>
      <c r="F14" s="17" t="s">
        <v>103</v>
      </c>
      <c r="G14" s="3">
        <v>20</v>
      </c>
      <c r="H14" s="17" t="s">
        <v>59</v>
      </c>
      <c r="I14" s="25">
        <v>0</v>
      </c>
      <c r="J14" s="25">
        <v>1</v>
      </c>
      <c r="K14" s="17" t="s">
        <v>60</v>
      </c>
      <c r="L14" s="17" t="s">
        <v>59</v>
      </c>
      <c r="M14" s="17" t="s">
        <v>59</v>
      </c>
      <c r="N14" s="19" t="s">
        <v>61</v>
      </c>
      <c r="O14" s="17" t="s">
        <v>104</v>
      </c>
      <c r="P14" s="17" t="s">
        <v>105</v>
      </c>
      <c r="Q14" s="17" t="s">
        <v>72</v>
      </c>
    </row>
    <row r="15" spans="1:17" ht="26.25" customHeight="1">
      <c r="A15" s="19" t="s">
        <v>73</v>
      </c>
      <c r="B15" s="19" t="s">
        <v>11</v>
      </c>
      <c r="C15" s="18">
        <v>45973</v>
      </c>
      <c r="D15" s="19" t="s">
        <v>15</v>
      </c>
      <c r="E15" s="19" t="s">
        <v>106</v>
      </c>
      <c r="F15" s="19" t="s">
        <v>107</v>
      </c>
      <c r="G15" s="4">
        <v>20</v>
      </c>
      <c r="H15" s="19" t="s">
        <v>59</v>
      </c>
      <c r="I15" s="26">
        <v>0</v>
      </c>
      <c r="J15" s="26">
        <v>1</v>
      </c>
      <c r="K15" s="19" t="s">
        <v>60</v>
      </c>
      <c r="L15" s="19" t="s">
        <v>59</v>
      </c>
      <c r="M15" s="19" t="s">
        <v>59</v>
      </c>
      <c r="N15" s="19" t="s">
        <v>61</v>
      </c>
      <c r="O15" s="19" t="s">
        <v>108</v>
      </c>
      <c r="P15" s="19" t="s">
        <v>109</v>
      </c>
      <c r="Q15" s="19" t="s">
        <v>72</v>
      </c>
    </row>
    <row r="16" spans="1:17" ht="26.25" customHeight="1">
      <c r="A16" s="17" t="s">
        <v>73</v>
      </c>
      <c r="B16" s="17" t="s">
        <v>11</v>
      </c>
      <c r="C16" s="16">
        <v>45973</v>
      </c>
      <c r="D16" s="17" t="s">
        <v>8</v>
      </c>
      <c r="E16" s="17" t="s">
        <v>110</v>
      </c>
      <c r="F16" s="17" t="s">
        <v>111</v>
      </c>
      <c r="G16" s="3">
        <v>30</v>
      </c>
      <c r="H16" s="17" t="s">
        <v>59</v>
      </c>
      <c r="I16" s="25">
        <v>0</v>
      </c>
      <c r="J16" s="25">
        <v>1</v>
      </c>
      <c r="K16" s="17" t="s">
        <v>60</v>
      </c>
      <c r="L16" s="17" t="s">
        <v>59</v>
      </c>
      <c r="M16" s="17" t="s">
        <v>59</v>
      </c>
      <c r="N16" s="19" t="s">
        <v>61</v>
      </c>
      <c r="O16" s="17" t="s">
        <v>112</v>
      </c>
      <c r="P16" s="17" t="s">
        <v>113</v>
      </c>
      <c r="Q16" s="17" t="s">
        <v>63</v>
      </c>
    </row>
    <row r="17" spans="1:17" ht="26.25" customHeight="1">
      <c r="A17" s="19" t="s">
        <v>73</v>
      </c>
      <c r="B17" s="19" t="s">
        <v>12</v>
      </c>
      <c r="C17" s="18">
        <v>45973</v>
      </c>
      <c r="D17" s="19" t="s">
        <v>10</v>
      </c>
      <c r="E17" s="19" t="s">
        <v>114</v>
      </c>
      <c r="F17" s="19" t="s">
        <v>115</v>
      </c>
      <c r="G17" s="4">
        <v>60</v>
      </c>
      <c r="H17" s="19" t="s">
        <v>59</v>
      </c>
      <c r="I17" s="26">
        <v>0</v>
      </c>
      <c r="J17" s="26">
        <v>1</v>
      </c>
      <c r="K17" s="19" t="s">
        <v>60</v>
      </c>
      <c r="L17" s="19" t="s">
        <v>59</v>
      </c>
      <c r="M17" s="19" t="s">
        <v>59</v>
      </c>
      <c r="N17" s="19" t="s">
        <v>61</v>
      </c>
      <c r="O17" s="19" t="s">
        <v>59</v>
      </c>
      <c r="P17" s="19" t="s">
        <v>116</v>
      </c>
      <c r="Q17" s="19" t="s">
        <v>70</v>
      </c>
    </row>
    <row r="18" spans="1:17" ht="26.25" customHeight="1">
      <c r="A18" s="17" t="s">
        <v>73</v>
      </c>
      <c r="B18" s="17" t="s">
        <v>12</v>
      </c>
      <c r="C18" s="16">
        <v>45973</v>
      </c>
      <c r="D18" s="17" t="s">
        <v>15</v>
      </c>
      <c r="E18" s="17" t="s">
        <v>117</v>
      </c>
      <c r="F18" s="17" t="s">
        <v>118</v>
      </c>
      <c r="G18" s="3">
        <v>20</v>
      </c>
      <c r="H18" s="17" t="s">
        <v>59</v>
      </c>
      <c r="I18" s="25">
        <v>0</v>
      </c>
      <c r="J18" s="25">
        <v>1</v>
      </c>
      <c r="K18" s="17" t="s">
        <v>60</v>
      </c>
      <c r="L18" s="17" t="s">
        <v>59</v>
      </c>
      <c r="M18" s="17" t="s">
        <v>59</v>
      </c>
      <c r="N18" s="19" t="s">
        <v>61</v>
      </c>
      <c r="O18" s="17" t="s">
        <v>119</v>
      </c>
      <c r="P18" s="17" t="s">
        <v>120</v>
      </c>
      <c r="Q18" s="17" t="s">
        <v>72</v>
      </c>
    </row>
    <row r="19" spans="1:17" ht="26.25" customHeight="1">
      <c r="A19" s="19" t="s">
        <v>73</v>
      </c>
      <c r="B19" s="19" t="s">
        <v>12</v>
      </c>
      <c r="C19" s="18">
        <v>45973</v>
      </c>
      <c r="D19" s="19" t="s">
        <v>15</v>
      </c>
      <c r="E19" s="19" t="s">
        <v>121</v>
      </c>
      <c r="F19" s="19" t="s">
        <v>106</v>
      </c>
      <c r="G19" s="4">
        <v>20</v>
      </c>
      <c r="H19" s="19" t="s">
        <v>59</v>
      </c>
      <c r="I19" s="26">
        <v>0</v>
      </c>
      <c r="J19" s="26">
        <v>1</v>
      </c>
      <c r="K19" s="19" t="s">
        <v>60</v>
      </c>
      <c r="L19" s="19" t="s">
        <v>59</v>
      </c>
      <c r="M19" s="19" t="s">
        <v>59</v>
      </c>
      <c r="N19" s="19" t="s">
        <v>61</v>
      </c>
      <c r="O19" s="19" t="s">
        <v>122</v>
      </c>
      <c r="P19" s="19" t="s">
        <v>123</v>
      </c>
      <c r="Q19" s="19" t="s">
        <v>72</v>
      </c>
    </row>
    <row r="20" spans="1:17" ht="26.25" customHeight="1">
      <c r="A20" s="17" t="s">
        <v>124</v>
      </c>
      <c r="B20" s="17" t="s">
        <v>21</v>
      </c>
      <c r="C20" s="16">
        <v>45973</v>
      </c>
      <c r="D20" s="17" t="s">
        <v>8</v>
      </c>
      <c r="E20" s="17" t="s">
        <v>82</v>
      </c>
      <c r="F20" s="17" t="s">
        <v>125</v>
      </c>
      <c r="G20" s="3">
        <v>20</v>
      </c>
      <c r="H20" s="17" t="s">
        <v>59</v>
      </c>
      <c r="I20" s="25">
        <v>0</v>
      </c>
      <c r="J20" s="25">
        <v>1</v>
      </c>
      <c r="K20" s="17" t="s">
        <v>60</v>
      </c>
      <c r="L20" s="17" t="s">
        <v>59</v>
      </c>
      <c r="M20" s="17" t="s">
        <v>59</v>
      </c>
      <c r="N20" s="19" t="s">
        <v>61</v>
      </c>
      <c r="O20" s="17" t="s">
        <v>59</v>
      </c>
      <c r="P20" s="17" t="s">
        <v>126</v>
      </c>
      <c r="Q20" s="17" t="s">
        <v>63</v>
      </c>
    </row>
    <row r="21" spans="1:17" ht="26.25" customHeight="1">
      <c r="A21" s="19" t="s">
        <v>124</v>
      </c>
      <c r="B21" s="19" t="s">
        <v>24</v>
      </c>
      <c r="C21" s="18">
        <v>45973</v>
      </c>
      <c r="D21" s="19" t="s">
        <v>8</v>
      </c>
      <c r="E21" s="19" t="s">
        <v>110</v>
      </c>
      <c r="F21" s="19" t="s">
        <v>111</v>
      </c>
      <c r="G21" s="4">
        <v>30</v>
      </c>
      <c r="H21" s="19" t="s">
        <v>59</v>
      </c>
      <c r="I21" s="26">
        <v>0</v>
      </c>
      <c r="J21" s="26">
        <v>1</v>
      </c>
      <c r="K21" s="19" t="s">
        <v>60</v>
      </c>
      <c r="L21" s="19" t="s">
        <v>59</v>
      </c>
      <c r="M21" s="19" t="s">
        <v>59</v>
      </c>
      <c r="N21" s="19" t="s">
        <v>61</v>
      </c>
      <c r="O21" s="19" t="s">
        <v>59</v>
      </c>
      <c r="P21" s="19" t="s">
        <v>127</v>
      </c>
      <c r="Q21" s="19" t="s">
        <v>63</v>
      </c>
    </row>
    <row r="22" spans="1:17" ht="26.25" customHeight="1">
      <c r="A22" s="17" t="s">
        <v>124</v>
      </c>
      <c r="B22" s="17" t="s">
        <v>19</v>
      </c>
      <c r="C22" s="16">
        <v>45973</v>
      </c>
      <c r="D22" s="17" t="s">
        <v>15</v>
      </c>
      <c r="E22" s="17" t="s">
        <v>128</v>
      </c>
      <c r="F22" s="17" t="s">
        <v>129</v>
      </c>
      <c r="G22" s="3">
        <v>20</v>
      </c>
      <c r="H22" s="17" t="s">
        <v>59</v>
      </c>
      <c r="I22" s="25">
        <v>0</v>
      </c>
      <c r="J22" s="25">
        <v>1</v>
      </c>
      <c r="K22" s="17" t="s">
        <v>60</v>
      </c>
      <c r="L22" s="17" t="s">
        <v>59</v>
      </c>
      <c r="M22" s="17" t="s">
        <v>59</v>
      </c>
      <c r="N22" s="19" t="s">
        <v>61</v>
      </c>
      <c r="O22" s="17" t="s">
        <v>59</v>
      </c>
      <c r="P22" s="17" t="s">
        <v>130</v>
      </c>
      <c r="Q22" s="17" t="s">
        <v>76</v>
      </c>
    </row>
    <row r="23" spans="1:17" ht="26.25" customHeight="1">
      <c r="A23" s="19" t="s">
        <v>124</v>
      </c>
      <c r="B23" s="19" t="s">
        <v>19</v>
      </c>
      <c r="C23" s="18">
        <v>45973</v>
      </c>
      <c r="D23" s="19" t="s">
        <v>10</v>
      </c>
      <c r="E23" s="19" t="s">
        <v>131</v>
      </c>
      <c r="F23" s="19" t="s">
        <v>132</v>
      </c>
      <c r="G23" s="4">
        <v>15</v>
      </c>
      <c r="H23" s="19" t="s">
        <v>59</v>
      </c>
      <c r="I23" s="26">
        <v>0</v>
      </c>
      <c r="J23" s="26">
        <v>1</v>
      </c>
      <c r="K23" s="19" t="s">
        <v>60</v>
      </c>
      <c r="L23" s="19" t="s">
        <v>59</v>
      </c>
      <c r="M23" s="19" t="s">
        <v>59</v>
      </c>
      <c r="N23" s="19" t="s">
        <v>61</v>
      </c>
      <c r="O23" s="19" t="s">
        <v>133</v>
      </c>
      <c r="P23" s="19" t="s">
        <v>134</v>
      </c>
      <c r="Q23" s="19" t="s">
        <v>70</v>
      </c>
    </row>
    <row r="24" spans="1:17" ht="26.25" customHeight="1">
      <c r="A24" s="17" t="s">
        <v>124</v>
      </c>
      <c r="B24" s="17" t="s">
        <v>7</v>
      </c>
      <c r="C24" s="16">
        <v>45973</v>
      </c>
      <c r="D24" s="17" t="s">
        <v>8</v>
      </c>
      <c r="E24" s="17" t="s">
        <v>57</v>
      </c>
      <c r="F24" s="17" t="s">
        <v>135</v>
      </c>
      <c r="G24" s="3">
        <v>60</v>
      </c>
      <c r="H24" s="17" t="s">
        <v>59</v>
      </c>
      <c r="I24" s="25">
        <v>0</v>
      </c>
      <c r="J24" s="25">
        <v>1</v>
      </c>
      <c r="K24" s="17" t="s">
        <v>60</v>
      </c>
      <c r="L24" s="17" t="s">
        <v>59</v>
      </c>
      <c r="M24" s="17" t="s">
        <v>59</v>
      </c>
      <c r="N24" s="19" t="s">
        <v>61</v>
      </c>
      <c r="O24" s="17" t="s">
        <v>59</v>
      </c>
      <c r="P24" s="17" t="s">
        <v>136</v>
      </c>
      <c r="Q24" s="17" t="s">
        <v>63</v>
      </c>
    </row>
    <row r="25" spans="1:17" ht="26.25" customHeight="1">
      <c r="A25" s="19" t="s">
        <v>124</v>
      </c>
      <c r="B25" s="19" t="s">
        <v>20</v>
      </c>
      <c r="C25" s="18">
        <v>45973</v>
      </c>
      <c r="D25" s="19" t="s">
        <v>8</v>
      </c>
      <c r="E25" s="19" t="s">
        <v>137</v>
      </c>
      <c r="F25" s="19" t="s">
        <v>138</v>
      </c>
      <c r="G25" s="4">
        <v>90</v>
      </c>
      <c r="H25" s="19" t="s">
        <v>59</v>
      </c>
      <c r="I25" s="26">
        <v>0</v>
      </c>
      <c r="J25" s="26">
        <v>1</v>
      </c>
      <c r="K25" s="19" t="s">
        <v>60</v>
      </c>
      <c r="L25" s="19" t="s">
        <v>59</v>
      </c>
      <c r="M25" s="19" t="s">
        <v>59</v>
      </c>
      <c r="N25" s="19" t="s">
        <v>61</v>
      </c>
      <c r="O25" s="19" t="s">
        <v>139</v>
      </c>
      <c r="P25" s="19" t="s">
        <v>140</v>
      </c>
      <c r="Q25" s="19" t="s">
        <v>68</v>
      </c>
    </row>
    <row r="26" spans="1:17" ht="26.25" customHeight="1">
      <c r="A26" s="17" t="s">
        <v>124</v>
      </c>
      <c r="B26" s="17" t="s">
        <v>23</v>
      </c>
      <c r="C26" s="16">
        <v>45973</v>
      </c>
      <c r="D26" s="17" t="s">
        <v>10</v>
      </c>
      <c r="E26" s="17" t="s">
        <v>141</v>
      </c>
      <c r="F26" s="17" t="s">
        <v>142</v>
      </c>
      <c r="G26" s="3">
        <v>20</v>
      </c>
      <c r="H26" s="17" t="s">
        <v>59</v>
      </c>
      <c r="I26" s="25">
        <v>0</v>
      </c>
      <c r="J26" s="25">
        <v>1</v>
      </c>
      <c r="K26" s="17" t="s">
        <v>60</v>
      </c>
      <c r="L26" s="17" t="s">
        <v>59</v>
      </c>
      <c r="M26" s="17" t="s">
        <v>59</v>
      </c>
      <c r="N26" s="19" t="s">
        <v>61</v>
      </c>
      <c r="O26" s="17" t="s">
        <v>59</v>
      </c>
      <c r="P26" s="17" t="s">
        <v>143</v>
      </c>
      <c r="Q26" s="17" t="s">
        <v>144</v>
      </c>
    </row>
    <row r="27" spans="1:17" ht="26.25" customHeight="1">
      <c r="A27" s="19" t="s">
        <v>124</v>
      </c>
      <c r="B27" s="19" t="s">
        <v>23</v>
      </c>
      <c r="C27" s="18">
        <v>45973</v>
      </c>
      <c r="D27" s="19" t="s">
        <v>15</v>
      </c>
      <c r="E27" s="19" t="s">
        <v>145</v>
      </c>
      <c r="F27" s="19" t="s">
        <v>146</v>
      </c>
      <c r="G27" s="4">
        <v>30</v>
      </c>
      <c r="H27" s="19" t="s">
        <v>59</v>
      </c>
      <c r="I27" s="26">
        <v>0</v>
      </c>
      <c r="J27" s="26">
        <v>1</v>
      </c>
      <c r="K27" s="19" t="s">
        <v>60</v>
      </c>
      <c r="L27" s="19" t="s">
        <v>59</v>
      </c>
      <c r="M27" s="19" t="s">
        <v>59</v>
      </c>
      <c r="N27" s="19" t="s">
        <v>61</v>
      </c>
      <c r="O27" s="19" t="s">
        <v>147</v>
      </c>
      <c r="P27" s="19" t="s">
        <v>148</v>
      </c>
      <c r="Q27" s="19" t="s">
        <v>72</v>
      </c>
    </row>
    <row r="28" spans="1:17" ht="26.25" customHeight="1">
      <c r="A28" s="17" t="s">
        <v>124</v>
      </c>
      <c r="B28" s="17" t="s">
        <v>16</v>
      </c>
      <c r="C28" s="16">
        <v>45973</v>
      </c>
      <c r="D28" s="17" t="s">
        <v>8</v>
      </c>
      <c r="E28" s="17" t="s">
        <v>149</v>
      </c>
      <c r="F28" s="17" t="s">
        <v>98</v>
      </c>
      <c r="G28" s="3">
        <v>40</v>
      </c>
      <c r="H28" s="17" t="s">
        <v>59</v>
      </c>
      <c r="I28" s="25">
        <v>0</v>
      </c>
      <c r="J28" s="25">
        <v>1</v>
      </c>
      <c r="K28" s="17" t="s">
        <v>60</v>
      </c>
      <c r="L28" s="17" t="s">
        <v>59</v>
      </c>
      <c r="M28" s="17" t="s">
        <v>59</v>
      </c>
      <c r="N28" s="19" t="s">
        <v>61</v>
      </c>
      <c r="O28" s="17" t="s">
        <v>150</v>
      </c>
      <c r="P28" s="17" t="s">
        <v>151</v>
      </c>
      <c r="Q28" s="17" t="s">
        <v>68</v>
      </c>
    </row>
    <row r="29" spans="1:17" ht="26.25" customHeight="1">
      <c r="A29" s="19" t="s">
        <v>124</v>
      </c>
      <c r="B29" s="19" t="s">
        <v>17</v>
      </c>
      <c r="C29" s="18">
        <v>45973</v>
      </c>
      <c r="D29" s="19" t="s">
        <v>8</v>
      </c>
      <c r="E29" s="19" t="s">
        <v>152</v>
      </c>
      <c r="F29" s="19" t="s">
        <v>153</v>
      </c>
      <c r="G29" s="4">
        <v>30</v>
      </c>
      <c r="H29" s="19" t="s">
        <v>59</v>
      </c>
      <c r="I29" s="26">
        <v>0</v>
      </c>
      <c r="J29" s="26">
        <v>1</v>
      </c>
      <c r="K29" s="19" t="s">
        <v>60</v>
      </c>
      <c r="L29" s="19" t="s">
        <v>59</v>
      </c>
      <c r="M29" s="19" t="s">
        <v>59</v>
      </c>
      <c r="N29" s="19" t="s">
        <v>61</v>
      </c>
      <c r="O29" s="19" t="s">
        <v>154</v>
      </c>
      <c r="P29" s="19" t="s">
        <v>155</v>
      </c>
      <c r="Q29" s="19" t="s">
        <v>72</v>
      </c>
    </row>
    <row r="30" spans="1:17" ht="26.25" customHeight="1">
      <c r="A30" s="17" t="s">
        <v>124</v>
      </c>
      <c r="B30" s="17" t="s">
        <v>17</v>
      </c>
      <c r="C30" s="16">
        <v>45973</v>
      </c>
      <c r="D30" s="17" t="s">
        <v>15</v>
      </c>
      <c r="E30" s="17" t="s">
        <v>156</v>
      </c>
      <c r="F30" s="17" t="s">
        <v>157</v>
      </c>
      <c r="G30" s="3">
        <v>50</v>
      </c>
      <c r="H30" s="17" t="s">
        <v>59</v>
      </c>
      <c r="I30" s="25">
        <v>0</v>
      </c>
      <c r="J30" s="25">
        <v>1</v>
      </c>
      <c r="K30" s="17" t="s">
        <v>60</v>
      </c>
      <c r="L30" s="17" t="s">
        <v>59</v>
      </c>
      <c r="M30" s="17" t="s">
        <v>59</v>
      </c>
      <c r="N30" s="19" t="s">
        <v>61</v>
      </c>
      <c r="O30" s="17" t="s">
        <v>158</v>
      </c>
      <c r="P30" s="17" t="s">
        <v>159</v>
      </c>
      <c r="Q30" s="17" t="s">
        <v>72</v>
      </c>
    </row>
    <row r="31" spans="1:17" ht="26.25" customHeight="1">
      <c r="A31" s="19" t="s">
        <v>124</v>
      </c>
      <c r="B31" s="19" t="s">
        <v>12</v>
      </c>
      <c r="C31" s="18">
        <v>45973</v>
      </c>
      <c r="D31" s="19" t="s">
        <v>10</v>
      </c>
      <c r="E31" s="19" t="s">
        <v>115</v>
      </c>
      <c r="F31" s="19" t="s">
        <v>160</v>
      </c>
      <c r="G31" s="4">
        <v>40</v>
      </c>
      <c r="H31" s="19" t="s">
        <v>59</v>
      </c>
      <c r="I31" s="26">
        <v>0</v>
      </c>
      <c r="J31" s="26">
        <v>1</v>
      </c>
      <c r="K31" s="19" t="s">
        <v>60</v>
      </c>
      <c r="L31" s="19" t="s">
        <v>59</v>
      </c>
      <c r="M31" s="19" t="s">
        <v>59</v>
      </c>
      <c r="N31" s="19" t="s">
        <v>61</v>
      </c>
      <c r="O31" s="19" t="s">
        <v>161</v>
      </c>
      <c r="P31" s="19" t="s">
        <v>162</v>
      </c>
      <c r="Q31" s="19" t="s">
        <v>70</v>
      </c>
    </row>
    <row r="32" spans="1:17" ht="26.25" customHeight="1">
      <c r="A32" s="17" t="s">
        <v>124</v>
      </c>
      <c r="B32" s="17" t="s">
        <v>18</v>
      </c>
      <c r="C32" s="16">
        <v>45973</v>
      </c>
      <c r="D32" s="17" t="s">
        <v>8</v>
      </c>
      <c r="E32" s="17" t="s">
        <v>163</v>
      </c>
      <c r="F32" s="17" t="s">
        <v>164</v>
      </c>
      <c r="G32" s="3">
        <v>45</v>
      </c>
      <c r="H32" s="17" t="s">
        <v>59</v>
      </c>
      <c r="I32" s="25">
        <v>0</v>
      </c>
      <c r="J32" s="25">
        <v>1</v>
      </c>
      <c r="K32" s="17" t="s">
        <v>60</v>
      </c>
      <c r="L32" s="17" t="s">
        <v>59</v>
      </c>
      <c r="M32" s="17" t="s">
        <v>59</v>
      </c>
      <c r="N32" s="19" t="s">
        <v>61</v>
      </c>
      <c r="O32" s="17" t="s">
        <v>165</v>
      </c>
      <c r="P32" s="17" t="s">
        <v>166</v>
      </c>
      <c r="Q32" s="17" t="s">
        <v>68</v>
      </c>
    </row>
    <row r="33" spans="1:17" ht="26.25" customHeight="1">
      <c r="A33" s="19" t="s">
        <v>124</v>
      </c>
      <c r="B33" s="19" t="s">
        <v>18</v>
      </c>
      <c r="C33" s="18">
        <v>45973</v>
      </c>
      <c r="D33" s="19" t="s">
        <v>10</v>
      </c>
      <c r="E33" s="19" t="s">
        <v>25</v>
      </c>
      <c r="F33" s="19" t="s">
        <v>167</v>
      </c>
      <c r="G33" s="4">
        <v>40</v>
      </c>
      <c r="H33" s="19" t="s">
        <v>59</v>
      </c>
      <c r="I33" s="26">
        <v>0</v>
      </c>
      <c r="J33" s="26">
        <v>1</v>
      </c>
      <c r="K33" s="19" t="s">
        <v>60</v>
      </c>
      <c r="L33" s="19" t="s">
        <v>59</v>
      </c>
      <c r="M33" s="19" t="s">
        <v>59</v>
      </c>
      <c r="N33" s="19" t="s">
        <v>61</v>
      </c>
      <c r="O33" s="19" t="s">
        <v>168</v>
      </c>
      <c r="P33" s="19" t="s">
        <v>169</v>
      </c>
      <c r="Q33" s="19" t="s">
        <v>88</v>
      </c>
    </row>
    <row r="34" spans="1:17" ht="26.25" customHeight="1">
      <c r="A34" s="17" t="s">
        <v>170</v>
      </c>
      <c r="B34" s="17" t="s">
        <v>12</v>
      </c>
      <c r="C34" s="16">
        <v>45973</v>
      </c>
      <c r="D34" s="17" t="s">
        <v>10</v>
      </c>
      <c r="E34" s="17" t="s">
        <v>171</v>
      </c>
      <c r="F34" s="17" t="s">
        <v>172</v>
      </c>
      <c r="G34" s="3">
        <v>30</v>
      </c>
      <c r="H34" s="17" t="s">
        <v>59</v>
      </c>
      <c r="I34" s="25">
        <v>0</v>
      </c>
      <c r="J34" s="25">
        <v>1</v>
      </c>
      <c r="K34" s="17" t="s">
        <v>60</v>
      </c>
      <c r="L34" s="17" t="s">
        <v>59</v>
      </c>
      <c r="M34" s="17" t="s">
        <v>59</v>
      </c>
      <c r="N34" s="19" t="s">
        <v>61</v>
      </c>
      <c r="O34" s="17" t="s">
        <v>173</v>
      </c>
      <c r="P34" s="17" t="s">
        <v>174</v>
      </c>
      <c r="Q34" s="17" t="s">
        <v>70</v>
      </c>
    </row>
    <row r="35" spans="1:17" ht="26.25" customHeight="1">
      <c r="A35" s="19" t="s">
        <v>175</v>
      </c>
      <c r="B35" s="19" t="s">
        <v>21</v>
      </c>
      <c r="C35" s="18">
        <v>45973</v>
      </c>
      <c r="D35" s="19" t="s">
        <v>8</v>
      </c>
      <c r="E35" s="19" t="s">
        <v>90</v>
      </c>
      <c r="F35" s="19" t="s">
        <v>176</v>
      </c>
      <c r="G35" s="4">
        <v>45</v>
      </c>
      <c r="H35" s="19" t="s">
        <v>59</v>
      </c>
      <c r="I35" s="26">
        <v>0</v>
      </c>
      <c r="J35" s="26">
        <v>1</v>
      </c>
      <c r="K35" s="19" t="s">
        <v>60</v>
      </c>
      <c r="L35" s="19" t="s">
        <v>59</v>
      </c>
      <c r="M35" s="19" t="s">
        <v>59</v>
      </c>
      <c r="N35" s="19" t="s">
        <v>61</v>
      </c>
      <c r="O35" s="19" t="s">
        <v>177</v>
      </c>
      <c r="P35" s="19" t="s">
        <v>178</v>
      </c>
      <c r="Q35" s="19" t="s">
        <v>63</v>
      </c>
    </row>
    <row r="36" spans="1:17" ht="26.25" customHeight="1">
      <c r="A36" s="17" t="s">
        <v>175</v>
      </c>
      <c r="B36" s="17" t="s">
        <v>20</v>
      </c>
      <c r="C36" s="16">
        <v>45973</v>
      </c>
      <c r="D36" s="17" t="s">
        <v>15</v>
      </c>
      <c r="E36" s="17" t="s">
        <v>179</v>
      </c>
      <c r="F36" s="17" t="s">
        <v>180</v>
      </c>
      <c r="G36" s="3">
        <v>40</v>
      </c>
      <c r="H36" s="17" t="s">
        <v>59</v>
      </c>
      <c r="I36" s="25">
        <v>0</v>
      </c>
      <c r="J36" s="25">
        <v>1</v>
      </c>
      <c r="K36" s="17" t="s">
        <v>60</v>
      </c>
      <c r="L36" s="17" t="s">
        <v>59</v>
      </c>
      <c r="M36" s="17" t="s">
        <v>59</v>
      </c>
      <c r="N36" s="19" t="s">
        <v>61</v>
      </c>
      <c r="O36" s="17" t="s">
        <v>181</v>
      </c>
      <c r="P36" s="17" t="s">
        <v>182</v>
      </c>
      <c r="Q36" s="17" t="s">
        <v>72</v>
      </c>
    </row>
    <row r="37" spans="1:17" ht="26.25" customHeight="1">
      <c r="A37" s="19" t="s">
        <v>175</v>
      </c>
      <c r="B37" s="19" t="s">
        <v>11</v>
      </c>
      <c r="C37" s="18">
        <v>45973</v>
      </c>
      <c r="D37" s="19" t="s">
        <v>15</v>
      </c>
      <c r="E37" s="19" t="s">
        <v>183</v>
      </c>
      <c r="F37" s="19" t="s">
        <v>184</v>
      </c>
      <c r="G37" s="4">
        <v>25</v>
      </c>
      <c r="H37" s="19" t="s">
        <v>59</v>
      </c>
      <c r="I37" s="26">
        <v>0</v>
      </c>
      <c r="J37" s="26">
        <v>1</v>
      </c>
      <c r="K37" s="19" t="s">
        <v>60</v>
      </c>
      <c r="L37" s="19" t="s">
        <v>59</v>
      </c>
      <c r="M37" s="19" t="s">
        <v>59</v>
      </c>
      <c r="N37" s="19" t="s">
        <v>61</v>
      </c>
      <c r="O37" s="19" t="s">
        <v>185</v>
      </c>
      <c r="P37" s="19" t="s">
        <v>186</v>
      </c>
      <c r="Q37" s="19" t="s">
        <v>72</v>
      </c>
    </row>
    <row r="38" spans="1:17" ht="26.25" customHeight="1">
      <c r="A38" s="17" t="s">
        <v>175</v>
      </c>
      <c r="B38" s="17" t="s">
        <v>12</v>
      </c>
      <c r="C38" s="16">
        <v>45973</v>
      </c>
      <c r="D38" s="17" t="s">
        <v>8</v>
      </c>
      <c r="E38" s="17" t="s">
        <v>187</v>
      </c>
      <c r="F38" s="17" t="s">
        <v>188</v>
      </c>
      <c r="G38" s="3">
        <v>25</v>
      </c>
      <c r="H38" s="17" t="s">
        <v>59</v>
      </c>
      <c r="I38" s="25">
        <v>0</v>
      </c>
      <c r="J38" s="25">
        <v>1</v>
      </c>
      <c r="K38" s="17" t="s">
        <v>60</v>
      </c>
      <c r="L38" s="17" t="s">
        <v>59</v>
      </c>
      <c r="M38" s="17" t="s">
        <v>59</v>
      </c>
      <c r="N38" s="19" t="s">
        <v>61</v>
      </c>
      <c r="O38" s="17" t="s">
        <v>189</v>
      </c>
      <c r="P38" s="17" t="s">
        <v>190</v>
      </c>
      <c r="Q38" s="17" t="s">
        <v>68</v>
      </c>
    </row>
    <row r="39" spans="1:17" ht="26.25" customHeight="1">
      <c r="A39" s="19" t="s">
        <v>175</v>
      </c>
      <c r="B39" s="19" t="s">
        <v>12</v>
      </c>
      <c r="C39" s="18">
        <v>45973</v>
      </c>
      <c r="D39" s="19" t="s">
        <v>15</v>
      </c>
      <c r="E39" s="19" t="s">
        <v>191</v>
      </c>
      <c r="F39" s="19" t="s">
        <v>192</v>
      </c>
      <c r="G39" s="4">
        <v>20</v>
      </c>
      <c r="H39" s="19" t="s">
        <v>59</v>
      </c>
      <c r="I39" s="26">
        <v>0</v>
      </c>
      <c r="J39" s="26">
        <v>1</v>
      </c>
      <c r="K39" s="19" t="s">
        <v>60</v>
      </c>
      <c r="L39" s="19" t="s">
        <v>59</v>
      </c>
      <c r="M39" s="19" t="s">
        <v>59</v>
      </c>
      <c r="N39" s="19" t="s">
        <v>61</v>
      </c>
      <c r="O39" s="19" t="s">
        <v>193</v>
      </c>
      <c r="P39" s="19" t="s">
        <v>194</v>
      </c>
      <c r="Q39" s="19" t="s">
        <v>72</v>
      </c>
    </row>
    <row r="40" spans="1:17" ht="26.25" customHeight="1">
      <c r="A40" s="17" t="s">
        <v>195</v>
      </c>
      <c r="B40" s="17" t="s">
        <v>29</v>
      </c>
      <c r="C40" s="16">
        <v>45973</v>
      </c>
      <c r="D40" s="17" t="s">
        <v>8</v>
      </c>
      <c r="E40" s="17" t="s">
        <v>196</v>
      </c>
      <c r="F40" s="17" t="s">
        <v>176</v>
      </c>
      <c r="G40" s="3">
        <v>60</v>
      </c>
      <c r="H40" s="17" t="s">
        <v>59</v>
      </c>
      <c r="I40" s="25">
        <v>0</v>
      </c>
      <c r="J40" s="25">
        <v>1</v>
      </c>
      <c r="K40" s="17" t="s">
        <v>60</v>
      </c>
      <c r="L40" s="17" t="s">
        <v>59</v>
      </c>
      <c r="M40" s="17" t="s">
        <v>59</v>
      </c>
      <c r="N40" s="19" t="s">
        <v>61</v>
      </c>
      <c r="O40" s="17" t="s">
        <v>197</v>
      </c>
      <c r="P40" s="17" t="s">
        <v>198</v>
      </c>
      <c r="Q40" s="17" t="s">
        <v>63</v>
      </c>
    </row>
    <row r="41" spans="1:17" ht="26.25" customHeight="1">
      <c r="A41" s="19" t="s">
        <v>195</v>
      </c>
      <c r="B41" s="19" t="s">
        <v>16</v>
      </c>
      <c r="C41" s="18">
        <v>45973</v>
      </c>
      <c r="D41" s="19" t="s">
        <v>8</v>
      </c>
      <c r="E41" s="19" t="s">
        <v>199</v>
      </c>
      <c r="F41" s="19" t="s">
        <v>200</v>
      </c>
      <c r="G41" s="4">
        <v>20</v>
      </c>
      <c r="H41" s="19" t="s">
        <v>59</v>
      </c>
      <c r="I41" s="26">
        <v>0</v>
      </c>
      <c r="J41" s="26">
        <v>1</v>
      </c>
      <c r="K41" s="19" t="s">
        <v>60</v>
      </c>
      <c r="L41" s="19" t="s">
        <v>59</v>
      </c>
      <c r="M41" s="19" t="s">
        <v>59</v>
      </c>
      <c r="N41" s="19" t="s">
        <v>61</v>
      </c>
      <c r="O41" s="19" t="s">
        <v>201</v>
      </c>
      <c r="P41" s="19" t="s">
        <v>202</v>
      </c>
      <c r="Q41" s="19" t="s">
        <v>68</v>
      </c>
    </row>
    <row r="42" spans="1:17" ht="26.25" customHeight="1">
      <c r="A42" s="17" t="s">
        <v>195</v>
      </c>
      <c r="B42" s="17" t="s">
        <v>16</v>
      </c>
      <c r="C42" s="16">
        <v>45973</v>
      </c>
      <c r="D42" s="17" t="s">
        <v>8</v>
      </c>
      <c r="E42" s="17" t="s">
        <v>203</v>
      </c>
      <c r="F42" s="17" t="s">
        <v>204</v>
      </c>
      <c r="G42" s="3">
        <v>20</v>
      </c>
      <c r="H42" s="17" t="s">
        <v>59</v>
      </c>
      <c r="I42" s="25">
        <v>0</v>
      </c>
      <c r="J42" s="25">
        <v>1</v>
      </c>
      <c r="K42" s="17" t="s">
        <v>60</v>
      </c>
      <c r="L42" s="17" t="s">
        <v>59</v>
      </c>
      <c r="M42" s="17" t="s">
        <v>59</v>
      </c>
      <c r="N42" s="19" t="s">
        <v>61</v>
      </c>
      <c r="O42" s="17" t="s">
        <v>205</v>
      </c>
      <c r="P42" s="17" t="s">
        <v>206</v>
      </c>
      <c r="Q42" s="17" t="s">
        <v>72</v>
      </c>
    </row>
    <row r="43" spans="1:17" ht="26.25" customHeight="1">
      <c r="A43" s="19" t="s">
        <v>195</v>
      </c>
      <c r="B43" s="19" t="s">
        <v>16</v>
      </c>
      <c r="C43" s="18">
        <v>45973</v>
      </c>
      <c r="D43" s="19" t="s">
        <v>15</v>
      </c>
      <c r="E43" s="19" t="s">
        <v>207</v>
      </c>
      <c r="F43" s="19" t="s">
        <v>208</v>
      </c>
      <c r="G43" s="4">
        <v>29</v>
      </c>
      <c r="H43" s="19" t="s">
        <v>59</v>
      </c>
      <c r="I43" s="26">
        <v>0</v>
      </c>
      <c r="J43" s="26">
        <v>1</v>
      </c>
      <c r="K43" s="19" t="s">
        <v>60</v>
      </c>
      <c r="L43" s="19" t="s">
        <v>59</v>
      </c>
      <c r="M43" s="19" t="s">
        <v>59</v>
      </c>
      <c r="N43" s="19" t="s">
        <v>61</v>
      </c>
      <c r="O43" s="19" t="s">
        <v>209</v>
      </c>
      <c r="P43" s="19" t="s">
        <v>210</v>
      </c>
      <c r="Q43" s="19" t="s">
        <v>72</v>
      </c>
    </row>
    <row r="44" spans="1:17" ht="26.25" customHeight="1">
      <c r="A44" s="17" t="s">
        <v>195</v>
      </c>
      <c r="B44" s="17" t="s">
        <v>16</v>
      </c>
      <c r="C44" s="16">
        <v>45973</v>
      </c>
      <c r="D44" s="17" t="s">
        <v>15</v>
      </c>
      <c r="E44" s="17" t="s">
        <v>145</v>
      </c>
      <c r="F44" s="17" t="s">
        <v>211</v>
      </c>
      <c r="G44" s="3">
        <v>140</v>
      </c>
      <c r="H44" s="17" t="s">
        <v>59</v>
      </c>
      <c r="I44" s="25">
        <v>0</v>
      </c>
      <c r="J44" s="25">
        <v>1</v>
      </c>
      <c r="K44" s="17" t="s">
        <v>60</v>
      </c>
      <c r="L44" s="17" t="s">
        <v>59</v>
      </c>
      <c r="M44" s="17" t="s">
        <v>59</v>
      </c>
      <c r="N44" s="19" t="s">
        <v>61</v>
      </c>
      <c r="O44" s="17" t="s">
        <v>209</v>
      </c>
      <c r="P44" s="17" t="s">
        <v>212</v>
      </c>
      <c r="Q44" s="17" t="s">
        <v>72</v>
      </c>
    </row>
    <row r="45" spans="1:17" ht="26.25" customHeight="1">
      <c r="A45" s="19" t="s">
        <v>195</v>
      </c>
      <c r="B45" s="19" t="s">
        <v>16</v>
      </c>
      <c r="C45" s="18">
        <v>45973</v>
      </c>
      <c r="D45" s="19" t="s">
        <v>15</v>
      </c>
      <c r="E45" s="19" t="s">
        <v>213</v>
      </c>
      <c r="F45" s="19" t="s">
        <v>118</v>
      </c>
      <c r="G45" s="4">
        <v>100</v>
      </c>
      <c r="H45" s="19" t="s">
        <v>59</v>
      </c>
      <c r="I45" s="26">
        <v>0</v>
      </c>
      <c r="J45" s="26">
        <v>1</v>
      </c>
      <c r="K45" s="19" t="s">
        <v>60</v>
      </c>
      <c r="L45" s="19" t="s">
        <v>59</v>
      </c>
      <c r="M45" s="19" t="s">
        <v>59</v>
      </c>
      <c r="N45" s="19" t="s">
        <v>61</v>
      </c>
      <c r="O45" s="19" t="s">
        <v>209</v>
      </c>
      <c r="P45" s="19" t="s">
        <v>214</v>
      </c>
      <c r="Q45" s="19" t="s">
        <v>72</v>
      </c>
    </row>
    <row r="46" spans="1:17" ht="26.25" customHeight="1">
      <c r="A46" s="17" t="s">
        <v>195</v>
      </c>
      <c r="B46" s="17" t="s">
        <v>17</v>
      </c>
      <c r="C46" s="16">
        <v>45973</v>
      </c>
      <c r="D46" s="17" t="s">
        <v>10</v>
      </c>
      <c r="E46" s="17" t="s">
        <v>215</v>
      </c>
      <c r="F46" s="17" t="s">
        <v>216</v>
      </c>
      <c r="G46" s="3">
        <v>25</v>
      </c>
      <c r="H46" s="17" t="s">
        <v>59</v>
      </c>
      <c r="I46" s="25">
        <v>0</v>
      </c>
      <c r="J46" s="25">
        <v>1</v>
      </c>
      <c r="K46" s="17" t="s">
        <v>60</v>
      </c>
      <c r="L46" s="17" t="s">
        <v>59</v>
      </c>
      <c r="M46" s="17" t="s">
        <v>59</v>
      </c>
      <c r="N46" s="19" t="s">
        <v>61</v>
      </c>
      <c r="O46" s="17" t="s">
        <v>217</v>
      </c>
      <c r="P46" s="17" t="s">
        <v>218</v>
      </c>
      <c r="Q46" s="17" t="s">
        <v>88</v>
      </c>
    </row>
    <row r="47" spans="1:17" ht="26.25" customHeight="1">
      <c r="A47" s="19" t="s">
        <v>195</v>
      </c>
      <c r="B47" s="19" t="s">
        <v>11</v>
      </c>
      <c r="C47" s="18">
        <v>45973</v>
      </c>
      <c r="D47" s="19" t="s">
        <v>15</v>
      </c>
      <c r="E47" s="19" t="s">
        <v>107</v>
      </c>
      <c r="F47" s="19" t="s">
        <v>129</v>
      </c>
      <c r="G47" s="4">
        <v>30</v>
      </c>
      <c r="H47" s="19" t="s">
        <v>59</v>
      </c>
      <c r="I47" s="26">
        <v>0</v>
      </c>
      <c r="J47" s="26">
        <v>1</v>
      </c>
      <c r="K47" s="19" t="s">
        <v>60</v>
      </c>
      <c r="L47" s="19" t="s">
        <v>59</v>
      </c>
      <c r="M47" s="19" t="s">
        <v>59</v>
      </c>
      <c r="N47" s="19" t="s">
        <v>61</v>
      </c>
      <c r="O47" s="19" t="s">
        <v>219</v>
      </c>
      <c r="P47" s="19" t="s">
        <v>220</v>
      </c>
      <c r="Q47" s="19" t="s">
        <v>72</v>
      </c>
    </row>
    <row r="48" spans="1:17" ht="26.25" customHeight="1">
      <c r="A48" s="17" t="s">
        <v>195</v>
      </c>
      <c r="B48" s="17" t="s">
        <v>12</v>
      </c>
      <c r="C48" s="16">
        <v>45973</v>
      </c>
      <c r="D48" s="17" t="s">
        <v>10</v>
      </c>
      <c r="E48" s="17" t="s">
        <v>221</v>
      </c>
      <c r="F48" s="17" t="s">
        <v>84</v>
      </c>
      <c r="G48" s="3">
        <v>15</v>
      </c>
      <c r="H48" s="17" t="s">
        <v>59</v>
      </c>
      <c r="I48" s="25">
        <v>0</v>
      </c>
      <c r="J48" s="25">
        <v>1</v>
      </c>
      <c r="K48" s="17" t="s">
        <v>60</v>
      </c>
      <c r="L48" s="17" t="s">
        <v>59</v>
      </c>
      <c r="M48" s="17" t="s">
        <v>59</v>
      </c>
      <c r="N48" s="19" t="s">
        <v>61</v>
      </c>
      <c r="O48" s="17" t="s">
        <v>222</v>
      </c>
      <c r="P48" s="17" t="s">
        <v>223</v>
      </c>
      <c r="Q48" s="17" t="s">
        <v>70</v>
      </c>
    </row>
    <row r="49" spans="1:17" ht="26.25" customHeight="1">
      <c r="A49" s="19" t="s">
        <v>195</v>
      </c>
      <c r="B49" s="19" t="s">
        <v>12</v>
      </c>
      <c r="C49" s="18">
        <v>45973</v>
      </c>
      <c r="D49" s="19" t="s">
        <v>10</v>
      </c>
      <c r="E49" s="19" t="s">
        <v>224</v>
      </c>
      <c r="F49" s="19" t="s">
        <v>225</v>
      </c>
      <c r="G49" s="4">
        <v>30</v>
      </c>
      <c r="H49" s="19" t="s">
        <v>59</v>
      </c>
      <c r="I49" s="26">
        <v>0</v>
      </c>
      <c r="J49" s="26">
        <v>1</v>
      </c>
      <c r="K49" s="19" t="s">
        <v>60</v>
      </c>
      <c r="L49" s="19" t="s">
        <v>59</v>
      </c>
      <c r="M49" s="19" t="s">
        <v>59</v>
      </c>
      <c r="N49" s="19" t="s">
        <v>61</v>
      </c>
      <c r="O49" s="19" t="s">
        <v>222</v>
      </c>
      <c r="P49" s="19" t="s">
        <v>226</v>
      </c>
      <c r="Q49" s="19" t="s">
        <v>70</v>
      </c>
    </row>
    <row r="50" spans="1:17" ht="26.25" customHeight="1">
      <c r="A50" s="17" t="s">
        <v>227</v>
      </c>
      <c r="B50" s="17" t="s">
        <v>12</v>
      </c>
      <c r="C50" s="16">
        <v>45973</v>
      </c>
      <c r="D50" s="17" t="s">
        <v>8</v>
      </c>
      <c r="E50" s="17" t="s">
        <v>228</v>
      </c>
      <c r="F50" s="17" t="s">
        <v>229</v>
      </c>
      <c r="G50" s="3">
        <v>10</v>
      </c>
      <c r="H50" s="17" t="s">
        <v>59</v>
      </c>
      <c r="I50" s="25">
        <v>0</v>
      </c>
      <c r="J50" s="25">
        <v>1</v>
      </c>
      <c r="K50" s="17" t="s">
        <v>60</v>
      </c>
      <c r="L50" s="17" t="s">
        <v>59</v>
      </c>
      <c r="M50" s="17" t="s">
        <v>59</v>
      </c>
      <c r="N50" s="19" t="s">
        <v>61</v>
      </c>
      <c r="O50" s="17" t="s">
        <v>230</v>
      </c>
      <c r="P50" s="17" t="s">
        <v>231</v>
      </c>
      <c r="Q50" s="17" t="s">
        <v>68</v>
      </c>
    </row>
    <row r="51" spans="1:17" ht="26.25" customHeight="1">
      <c r="A51" s="19" t="s">
        <v>232</v>
      </c>
      <c r="B51" s="19" t="s">
        <v>19</v>
      </c>
      <c r="C51" s="18">
        <v>45973</v>
      </c>
      <c r="D51" s="19" t="s">
        <v>10</v>
      </c>
      <c r="E51" s="19" t="s">
        <v>233</v>
      </c>
      <c r="F51" s="19" t="s">
        <v>234</v>
      </c>
      <c r="G51" s="4">
        <v>15</v>
      </c>
      <c r="H51" s="19" t="s">
        <v>59</v>
      </c>
      <c r="I51" s="26">
        <v>0</v>
      </c>
      <c r="J51" s="26">
        <v>1</v>
      </c>
      <c r="K51" s="19" t="s">
        <v>60</v>
      </c>
      <c r="L51" s="19" t="s">
        <v>59</v>
      </c>
      <c r="M51" s="19" t="s">
        <v>59</v>
      </c>
      <c r="N51" s="19" t="s">
        <v>61</v>
      </c>
      <c r="O51" s="19" t="s">
        <v>235</v>
      </c>
      <c r="P51" s="19" t="s">
        <v>236</v>
      </c>
      <c r="Q51" s="19" t="s">
        <v>88</v>
      </c>
    </row>
    <row r="52" spans="1:17" ht="26.25" customHeight="1">
      <c r="A52" s="17" t="s">
        <v>232</v>
      </c>
      <c r="B52" s="17" t="s">
        <v>19</v>
      </c>
      <c r="C52" s="16">
        <v>45973</v>
      </c>
      <c r="D52" s="17" t="s">
        <v>10</v>
      </c>
      <c r="E52" s="17" t="s">
        <v>237</v>
      </c>
      <c r="F52" s="17" t="s">
        <v>238</v>
      </c>
      <c r="G52" s="3">
        <v>20</v>
      </c>
      <c r="H52" s="17" t="s">
        <v>59</v>
      </c>
      <c r="I52" s="25">
        <v>0</v>
      </c>
      <c r="J52" s="25">
        <v>1</v>
      </c>
      <c r="K52" s="17" t="s">
        <v>60</v>
      </c>
      <c r="L52" s="17" t="s">
        <v>59</v>
      </c>
      <c r="M52" s="17" t="s">
        <v>59</v>
      </c>
      <c r="N52" s="19" t="s">
        <v>61</v>
      </c>
      <c r="O52" s="17" t="s">
        <v>239</v>
      </c>
      <c r="P52" s="17" t="s">
        <v>240</v>
      </c>
      <c r="Q52" s="17" t="s">
        <v>70</v>
      </c>
    </row>
    <row r="53" spans="1:17" ht="26.25" customHeight="1">
      <c r="A53" s="19" t="s">
        <v>232</v>
      </c>
      <c r="B53" s="19" t="s">
        <v>23</v>
      </c>
      <c r="C53" s="18">
        <v>45973</v>
      </c>
      <c r="D53" s="19" t="s">
        <v>10</v>
      </c>
      <c r="E53" s="19" t="s">
        <v>237</v>
      </c>
      <c r="F53" s="19" t="s">
        <v>241</v>
      </c>
      <c r="G53" s="4">
        <v>15</v>
      </c>
      <c r="H53" s="19" t="s">
        <v>59</v>
      </c>
      <c r="I53" s="26">
        <v>0</v>
      </c>
      <c r="J53" s="26">
        <v>1</v>
      </c>
      <c r="K53" s="19" t="s">
        <v>60</v>
      </c>
      <c r="L53" s="19" t="s">
        <v>59</v>
      </c>
      <c r="M53" s="19" t="s">
        <v>59</v>
      </c>
      <c r="N53" s="19" t="s">
        <v>61</v>
      </c>
      <c r="O53" s="19" t="s">
        <v>59</v>
      </c>
      <c r="P53" s="19" t="s">
        <v>242</v>
      </c>
      <c r="Q53" s="19" t="s">
        <v>144</v>
      </c>
    </row>
    <row r="54" spans="1:17" ht="26.25" customHeight="1">
      <c r="A54" s="17" t="s">
        <v>232</v>
      </c>
      <c r="B54" s="17" t="s">
        <v>23</v>
      </c>
      <c r="C54" s="16">
        <v>45973</v>
      </c>
      <c r="D54" s="17" t="s">
        <v>10</v>
      </c>
      <c r="E54" s="17" t="s">
        <v>142</v>
      </c>
      <c r="F54" s="17" t="s">
        <v>221</v>
      </c>
      <c r="G54" s="3">
        <v>15</v>
      </c>
      <c r="H54" s="17" t="s">
        <v>59</v>
      </c>
      <c r="I54" s="25">
        <v>0</v>
      </c>
      <c r="J54" s="25">
        <v>1</v>
      </c>
      <c r="K54" s="17" t="s">
        <v>60</v>
      </c>
      <c r="L54" s="17" t="s">
        <v>59</v>
      </c>
      <c r="M54" s="17" t="s">
        <v>59</v>
      </c>
      <c r="N54" s="19" t="s">
        <v>61</v>
      </c>
      <c r="O54" s="17" t="s">
        <v>59</v>
      </c>
      <c r="P54" s="17" t="s">
        <v>243</v>
      </c>
      <c r="Q54" s="17" t="s">
        <v>144</v>
      </c>
    </row>
    <row r="55" spans="1:17" ht="26.25" customHeight="1">
      <c r="A55" s="19" t="s">
        <v>232</v>
      </c>
      <c r="B55" s="19" t="s">
        <v>17</v>
      </c>
      <c r="C55" s="18">
        <v>45973</v>
      </c>
      <c r="D55" s="19" t="s">
        <v>10</v>
      </c>
      <c r="E55" s="19" t="s">
        <v>237</v>
      </c>
      <c r="F55" s="19" t="s">
        <v>238</v>
      </c>
      <c r="G55" s="4">
        <v>20</v>
      </c>
      <c r="H55" s="19" t="s">
        <v>59</v>
      </c>
      <c r="I55" s="26">
        <v>0</v>
      </c>
      <c r="J55" s="26">
        <v>1</v>
      </c>
      <c r="K55" s="19" t="s">
        <v>60</v>
      </c>
      <c r="L55" s="19" t="s">
        <v>59</v>
      </c>
      <c r="M55" s="19" t="s">
        <v>59</v>
      </c>
      <c r="N55" s="19" t="s">
        <v>61</v>
      </c>
      <c r="O55" s="19" t="s">
        <v>59</v>
      </c>
      <c r="P55" s="19" t="s">
        <v>244</v>
      </c>
      <c r="Q55" s="19" t="s">
        <v>88</v>
      </c>
    </row>
    <row r="56" spans="1:17" ht="26.25" customHeight="1">
      <c r="A56" s="17" t="s">
        <v>232</v>
      </c>
      <c r="B56" s="17" t="s">
        <v>17</v>
      </c>
      <c r="C56" s="16">
        <v>45973</v>
      </c>
      <c r="D56" s="17" t="s">
        <v>10</v>
      </c>
      <c r="E56" s="17" t="s">
        <v>160</v>
      </c>
      <c r="F56" s="17" t="s">
        <v>245</v>
      </c>
      <c r="G56" s="3">
        <v>15</v>
      </c>
      <c r="H56" s="17" t="s">
        <v>59</v>
      </c>
      <c r="I56" s="25">
        <v>0</v>
      </c>
      <c r="J56" s="25">
        <v>1</v>
      </c>
      <c r="K56" s="17" t="s">
        <v>60</v>
      </c>
      <c r="L56" s="17" t="s">
        <v>59</v>
      </c>
      <c r="M56" s="17" t="s">
        <v>59</v>
      </c>
      <c r="N56" s="19" t="s">
        <v>61</v>
      </c>
      <c r="O56" s="17" t="s">
        <v>235</v>
      </c>
      <c r="P56" s="17" t="s">
        <v>246</v>
      </c>
      <c r="Q56" s="17" t="s">
        <v>88</v>
      </c>
    </row>
    <row r="57" spans="1:17" ht="26.25" customHeight="1">
      <c r="A57" s="19" t="s">
        <v>232</v>
      </c>
      <c r="B57" s="19" t="s">
        <v>12</v>
      </c>
      <c r="C57" s="18">
        <v>45973</v>
      </c>
      <c r="D57" s="19" t="s">
        <v>10</v>
      </c>
      <c r="E57" s="19" t="s">
        <v>160</v>
      </c>
      <c r="F57" s="19" t="s">
        <v>221</v>
      </c>
      <c r="G57" s="4">
        <v>25</v>
      </c>
      <c r="H57" s="19" t="s">
        <v>59</v>
      </c>
      <c r="I57" s="26">
        <v>0</v>
      </c>
      <c r="J57" s="26">
        <v>1</v>
      </c>
      <c r="K57" s="19" t="s">
        <v>60</v>
      </c>
      <c r="L57" s="19" t="s">
        <v>59</v>
      </c>
      <c r="M57" s="19" t="s">
        <v>59</v>
      </c>
      <c r="N57" s="19" t="s">
        <v>61</v>
      </c>
      <c r="O57" s="19" t="s">
        <v>247</v>
      </c>
      <c r="P57" s="19" t="s">
        <v>248</v>
      </c>
      <c r="Q57" s="19" t="s">
        <v>70</v>
      </c>
    </row>
    <row r="58" spans="1:17" ht="26.25" customHeight="1">
      <c r="A58" s="17" t="s">
        <v>232</v>
      </c>
      <c r="B58" s="17" t="s">
        <v>12</v>
      </c>
      <c r="C58" s="16">
        <v>45973</v>
      </c>
      <c r="D58" s="17" t="s">
        <v>10</v>
      </c>
      <c r="E58" s="17" t="s">
        <v>237</v>
      </c>
      <c r="F58" s="17" t="s">
        <v>238</v>
      </c>
      <c r="G58" s="3">
        <v>20</v>
      </c>
      <c r="H58" s="17" t="s">
        <v>59</v>
      </c>
      <c r="I58" s="25">
        <v>0</v>
      </c>
      <c r="J58" s="25">
        <v>1</v>
      </c>
      <c r="K58" s="17" t="s">
        <v>60</v>
      </c>
      <c r="L58" s="17" t="s">
        <v>59</v>
      </c>
      <c r="M58" s="17" t="s">
        <v>59</v>
      </c>
      <c r="N58" s="19" t="s">
        <v>61</v>
      </c>
      <c r="O58" s="17" t="s">
        <v>59</v>
      </c>
      <c r="P58" s="17" t="s">
        <v>249</v>
      </c>
      <c r="Q58" s="17" t="s">
        <v>70</v>
      </c>
    </row>
    <row r="59" spans="1:17" ht="26.25" customHeight="1">
      <c r="A59" s="19" t="s">
        <v>232</v>
      </c>
      <c r="B59" s="19" t="s">
        <v>18</v>
      </c>
      <c r="C59" s="18">
        <v>45973</v>
      </c>
      <c r="D59" s="19" t="s">
        <v>10</v>
      </c>
      <c r="E59" s="19" t="s">
        <v>237</v>
      </c>
      <c r="F59" s="19" t="s">
        <v>238</v>
      </c>
      <c r="G59" s="4">
        <v>20</v>
      </c>
      <c r="H59" s="19" t="s">
        <v>59</v>
      </c>
      <c r="I59" s="26">
        <v>0</v>
      </c>
      <c r="J59" s="26">
        <v>1</v>
      </c>
      <c r="K59" s="19" t="s">
        <v>60</v>
      </c>
      <c r="L59" s="19" t="s">
        <v>59</v>
      </c>
      <c r="M59" s="19" t="s">
        <v>59</v>
      </c>
      <c r="N59" s="19" t="s">
        <v>61</v>
      </c>
      <c r="O59" s="19" t="s">
        <v>59</v>
      </c>
      <c r="P59" s="19" t="s">
        <v>250</v>
      </c>
      <c r="Q59" s="19" t="s">
        <v>88</v>
      </c>
    </row>
    <row r="60" spans="1:17" ht="26.25" customHeight="1">
      <c r="A60" s="17" t="s">
        <v>232</v>
      </c>
      <c r="B60" s="17" t="s">
        <v>18</v>
      </c>
      <c r="C60" s="16">
        <v>45973</v>
      </c>
      <c r="D60" s="17" t="s">
        <v>10</v>
      </c>
      <c r="E60" s="17" t="s">
        <v>142</v>
      </c>
      <c r="F60" s="17" t="s">
        <v>251</v>
      </c>
      <c r="G60" s="3">
        <v>20</v>
      </c>
      <c r="H60" s="17" t="s">
        <v>59</v>
      </c>
      <c r="I60" s="25">
        <v>0</v>
      </c>
      <c r="J60" s="25">
        <v>1</v>
      </c>
      <c r="K60" s="17" t="s">
        <v>60</v>
      </c>
      <c r="L60" s="17" t="s">
        <v>59</v>
      </c>
      <c r="M60" s="17" t="s">
        <v>59</v>
      </c>
      <c r="N60" s="19" t="s">
        <v>61</v>
      </c>
      <c r="O60" s="17" t="s">
        <v>235</v>
      </c>
      <c r="P60" s="17" t="s">
        <v>252</v>
      </c>
      <c r="Q60" s="17" t="s">
        <v>88</v>
      </c>
    </row>
    <row r="61" spans="1:17" ht="26.25" customHeight="1">
      <c r="A61" s="19" t="s">
        <v>253</v>
      </c>
      <c r="B61" s="19" t="s">
        <v>11</v>
      </c>
      <c r="C61" s="18">
        <v>45973</v>
      </c>
      <c r="D61" s="19" t="s">
        <v>10</v>
      </c>
      <c r="E61" s="19" t="s">
        <v>224</v>
      </c>
      <c r="F61" s="19" t="s">
        <v>85</v>
      </c>
      <c r="G61" s="4">
        <v>330</v>
      </c>
      <c r="H61" s="19" t="s">
        <v>59</v>
      </c>
      <c r="I61" s="26">
        <v>0</v>
      </c>
      <c r="J61" s="26">
        <v>1</v>
      </c>
      <c r="K61" s="19" t="s">
        <v>60</v>
      </c>
      <c r="L61" s="19" t="s">
        <v>59</v>
      </c>
      <c r="M61" s="19" t="s">
        <v>59</v>
      </c>
      <c r="N61" s="19" t="s">
        <v>61</v>
      </c>
      <c r="O61" s="19" t="s">
        <v>254</v>
      </c>
      <c r="P61" s="19" t="s">
        <v>255</v>
      </c>
      <c r="Q61" s="19" t="s">
        <v>88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Normal="100" workbookViewId="0">
      <selection activeCell="L8" sqref="L8"/>
    </sheetView>
  </sheetViews>
  <sheetFormatPr defaultRowHeight="36.75" customHeight="1"/>
  <cols>
    <col min="1" max="1" width="22.140625" customWidth="1"/>
    <col min="2" max="2" width="12" customWidth="1"/>
    <col min="3" max="3" width="10.42578125" customWidth="1"/>
    <col min="4" max="4" width="8.85546875" customWidth="1"/>
    <col min="5" max="6" width="18.140625" customWidth="1"/>
    <col min="7" max="7" width="8" style="27" customWidth="1"/>
    <col min="8" max="8" width="9.140625" style="27"/>
    <col min="9" max="9" width="12" style="27" customWidth="1"/>
  </cols>
  <sheetData>
    <row r="1" spans="1:10" ht="36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6" t="s">
        <v>30</v>
      </c>
      <c r="I1" s="6" t="s">
        <v>31</v>
      </c>
      <c r="J1" s="2" t="s">
        <v>256</v>
      </c>
    </row>
    <row r="2" spans="1:10" ht="36.75" customHeight="1">
      <c r="A2" s="30" t="s">
        <v>13</v>
      </c>
      <c r="B2" s="30" t="s">
        <v>24</v>
      </c>
      <c r="C2" s="16">
        <v>46064</v>
      </c>
      <c r="D2" s="30" t="s">
        <v>8</v>
      </c>
      <c r="E2" s="17" t="s">
        <v>257</v>
      </c>
      <c r="F2" s="17" t="s">
        <v>258</v>
      </c>
      <c r="G2" s="31">
        <v>45</v>
      </c>
      <c r="H2" s="7">
        <f>ROUND(VLOOKUP(B2,COST!$B$4:$I$24,8,0),1)*G2</f>
        <v>382.5</v>
      </c>
      <c r="I2" s="8">
        <f>(4.62*G2)*VLOOKUP(B2,COST!$B$4:$J$24,9,0)</f>
        <v>207.9</v>
      </c>
      <c r="J2" s="3">
        <f t="shared" ref="J2:J10" si="0">H2+I2</f>
        <v>590.4</v>
      </c>
    </row>
    <row r="3" spans="1:10" ht="36.75" customHeight="1">
      <c r="A3" s="28" t="s">
        <v>13</v>
      </c>
      <c r="B3" s="28" t="s">
        <v>19</v>
      </c>
      <c r="C3" s="18">
        <v>46064</v>
      </c>
      <c r="D3" s="28" t="s">
        <v>15</v>
      </c>
      <c r="E3" s="19" t="s">
        <v>259</v>
      </c>
      <c r="F3" s="19" t="s">
        <v>260</v>
      </c>
      <c r="G3" s="29">
        <v>30</v>
      </c>
      <c r="H3" s="7">
        <f>ROUND(VLOOKUP(B3,COST!$B$4:$I$24,8,0),1)*G3</f>
        <v>396</v>
      </c>
      <c r="I3" s="8">
        <f>(4.62*G3)*VLOOKUP(B3,COST!$B$4:$J$24,9,0)</f>
        <v>277.2</v>
      </c>
      <c r="J3" s="3">
        <f t="shared" si="0"/>
        <v>673.2</v>
      </c>
    </row>
    <row r="4" spans="1:10" ht="36.75" customHeight="1">
      <c r="A4" s="30" t="s">
        <v>13</v>
      </c>
      <c r="B4" s="30" t="s">
        <v>14</v>
      </c>
      <c r="C4" s="16">
        <v>46064</v>
      </c>
      <c r="D4" s="30" t="s">
        <v>15</v>
      </c>
      <c r="E4" s="17" t="s">
        <v>259</v>
      </c>
      <c r="F4" s="17" t="s">
        <v>261</v>
      </c>
      <c r="G4" s="31">
        <v>255</v>
      </c>
      <c r="H4" s="7">
        <f>ROUND(VLOOKUP(B4,COST!$B$4:$I$24,8,0),1)*G4</f>
        <v>3442.5</v>
      </c>
      <c r="I4" s="8">
        <f>(4.62*G4)*VLOOKUP(B4,COST!$B$4:$J$24,9,0)</f>
        <v>1178.1000000000001</v>
      </c>
      <c r="J4" s="3">
        <f t="shared" si="0"/>
        <v>4620.6000000000004</v>
      </c>
    </row>
    <row r="5" spans="1:10" ht="36.75" customHeight="1">
      <c r="A5" s="28" t="s">
        <v>13</v>
      </c>
      <c r="B5" s="28" t="s">
        <v>42</v>
      </c>
      <c r="C5" s="18">
        <v>46064</v>
      </c>
      <c r="D5" s="28" t="s">
        <v>15</v>
      </c>
      <c r="E5" s="19" t="s">
        <v>259</v>
      </c>
      <c r="F5" s="19" t="s">
        <v>260</v>
      </c>
      <c r="G5" s="29">
        <v>30</v>
      </c>
      <c r="H5" s="7">
        <f>ROUND(VLOOKUP(B5,COST!$B$4:$I$24,8,0),1)*G5</f>
        <v>525</v>
      </c>
      <c r="I5" s="8">
        <f>(4.62*G5)*VLOOKUP(B5,COST!$B$4:$J$24,9,0)</f>
        <v>138.6</v>
      </c>
      <c r="J5" s="3">
        <f t="shared" si="0"/>
        <v>663.6</v>
      </c>
    </row>
    <row r="6" spans="1:10" ht="36.75" customHeight="1">
      <c r="A6" s="30" t="s">
        <v>13</v>
      </c>
      <c r="B6" s="30" t="s">
        <v>23</v>
      </c>
      <c r="C6" s="16">
        <v>46064</v>
      </c>
      <c r="D6" s="30" t="s">
        <v>15</v>
      </c>
      <c r="E6" s="17" t="s">
        <v>259</v>
      </c>
      <c r="F6" s="17" t="s">
        <v>262</v>
      </c>
      <c r="G6" s="31">
        <v>420</v>
      </c>
      <c r="H6" s="7">
        <f>ROUND(VLOOKUP(B6,COST!$B$4:$I$24,8,0),1)*G6</f>
        <v>8190</v>
      </c>
      <c r="I6" s="8">
        <f>(4.62*G6)*VLOOKUP(B6,COST!$B$4:$J$24,9,0)</f>
        <v>1940.4</v>
      </c>
      <c r="J6" s="3">
        <f t="shared" si="0"/>
        <v>10130.4</v>
      </c>
    </row>
    <row r="7" spans="1:10" ht="36.75" customHeight="1">
      <c r="A7" s="28" t="s">
        <v>13</v>
      </c>
      <c r="B7" s="28" t="s">
        <v>16</v>
      </c>
      <c r="C7" s="18">
        <v>46064</v>
      </c>
      <c r="D7" s="28" t="s">
        <v>15</v>
      </c>
      <c r="E7" s="19" t="s">
        <v>259</v>
      </c>
      <c r="F7" s="19" t="s">
        <v>260</v>
      </c>
      <c r="G7" s="29">
        <v>30</v>
      </c>
      <c r="H7" s="7">
        <f>ROUND(VLOOKUP(B7,COST!$B$4:$I$24,8,0),1)*G7</f>
        <v>789</v>
      </c>
      <c r="I7" s="8">
        <f>(4.62*G7)*VLOOKUP(B7,COST!$B$4:$J$24,9,0)</f>
        <v>415.79999999999995</v>
      </c>
      <c r="J7" s="3">
        <f t="shared" si="0"/>
        <v>1204.8</v>
      </c>
    </row>
    <row r="8" spans="1:10" ht="36.75" customHeight="1">
      <c r="A8" s="30" t="s">
        <v>13</v>
      </c>
      <c r="B8" s="30" t="s">
        <v>11</v>
      </c>
      <c r="C8" s="16">
        <v>46064</v>
      </c>
      <c r="D8" s="30" t="s">
        <v>15</v>
      </c>
      <c r="E8" s="17" t="s">
        <v>259</v>
      </c>
      <c r="F8" s="17" t="s">
        <v>260</v>
      </c>
      <c r="G8" s="31">
        <v>30</v>
      </c>
      <c r="H8" s="7">
        <f>ROUND(VLOOKUP(B8,COST!$B$4:$I$24,8,0),1)*G8</f>
        <v>870</v>
      </c>
      <c r="I8" s="8">
        <f>(4.62*G8)*VLOOKUP(B8,COST!$B$4:$J$24,9,0)</f>
        <v>693</v>
      </c>
      <c r="J8" s="3">
        <f t="shared" si="0"/>
        <v>1563</v>
      </c>
    </row>
    <row r="9" spans="1:10" ht="36.75" customHeight="1">
      <c r="A9" s="28" t="s">
        <v>13</v>
      </c>
      <c r="B9" s="28" t="s">
        <v>12</v>
      </c>
      <c r="C9" s="18">
        <v>46064</v>
      </c>
      <c r="D9" s="28" t="s">
        <v>15</v>
      </c>
      <c r="E9" s="19" t="s">
        <v>259</v>
      </c>
      <c r="F9" s="19" t="s">
        <v>263</v>
      </c>
      <c r="G9" s="29">
        <v>60</v>
      </c>
      <c r="H9" s="7">
        <f>ROUND(VLOOKUP(B9,COST!$B$4:$I$24,8,0),1)*G9</f>
        <v>2076</v>
      </c>
      <c r="I9" s="8">
        <f>(4.62*G9)*VLOOKUP(B9,COST!$B$4:$J$24,9,0)</f>
        <v>831.59999999999991</v>
      </c>
      <c r="J9" s="3">
        <f t="shared" si="0"/>
        <v>2907.6</v>
      </c>
    </row>
    <row r="10" spans="1:10" ht="36.75" customHeight="1">
      <c r="A10" s="30" t="s">
        <v>13</v>
      </c>
      <c r="B10" s="30" t="s">
        <v>18</v>
      </c>
      <c r="C10" s="16">
        <v>46064</v>
      </c>
      <c r="D10" s="30" t="s">
        <v>15</v>
      </c>
      <c r="E10" s="17" t="s">
        <v>259</v>
      </c>
      <c r="F10" s="17" t="s">
        <v>262</v>
      </c>
      <c r="G10" s="31">
        <v>420</v>
      </c>
      <c r="H10" s="7">
        <f>ROUND(VLOOKUP(B10,COST!$B$4:$I$24,8,0),1)*G10</f>
        <v>12726</v>
      </c>
      <c r="I10" s="8">
        <f>(4.62*G10)*VLOOKUP(B10,COST!$B$4:$J$24,9,0)</f>
        <v>5821.2000000000007</v>
      </c>
      <c r="J10" s="3">
        <f t="shared" si="0"/>
        <v>18547.2</v>
      </c>
    </row>
    <row r="11" spans="1:10" ht="36.75" customHeight="1">
      <c r="G11" s="32">
        <f>SUM(G2:G10)</f>
        <v>1320</v>
      </c>
      <c r="H11" s="32">
        <f>SUM(H2:H10)</f>
        <v>29397</v>
      </c>
      <c r="I11" s="32">
        <f>SUM(I2:I10)</f>
        <v>11503.800000000001</v>
      </c>
      <c r="J11" s="33">
        <f>SUM(J2:J10)</f>
        <v>40900.800000000003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J21" sqref="J21"/>
    </sheetView>
  </sheetViews>
  <sheetFormatPr defaultRowHeight="15"/>
  <cols>
    <col min="1" max="8" width="9.140625" style="1"/>
    <col min="9" max="9" width="18.42578125" style="1" bestFit="1" customWidth="1"/>
    <col min="10" max="10" width="12.28515625" style="1" bestFit="1" customWidth="1"/>
    <col min="11" max="16384" width="9.140625" style="1"/>
  </cols>
  <sheetData>
    <row r="1" spans="1:13" ht="28.5" customHeight="1">
      <c r="A1" s="35" t="s">
        <v>32</v>
      </c>
      <c r="B1" s="36"/>
      <c r="C1" s="36"/>
      <c r="D1" s="36"/>
      <c r="E1" s="36"/>
      <c r="F1" s="36"/>
      <c r="G1" s="36"/>
      <c r="H1" s="36"/>
      <c r="I1" s="36"/>
      <c r="J1" s="36"/>
    </row>
    <row r="2" spans="1:13">
      <c r="A2" s="34" t="s">
        <v>33</v>
      </c>
      <c r="B2" s="34" t="s">
        <v>34</v>
      </c>
      <c r="C2" s="41" t="s">
        <v>35</v>
      </c>
      <c r="D2" s="41"/>
      <c r="E2" s="41"/>
      <c r="F2" s="41" t="s">
        <v>36</v>
      </c>
      <c r="G2" s="41"/>
      <c r="H2" s="41"/>
      <c r="I2" s="34" t="s">
        <v>37</v>
      </c>
      <c r="J2" s="34" t="s">
        <v>46</v>
      </c>
    </row>
    <row r="3" spans="1:13">
      <c r="A3" s="34"/>
      <c r="B3" s="34"/>
      <c r="C3" s="9" t="s">
        <v>10</v>
      </c>
      <c r="D3" s="9" t="s">
        <v>8</v>
      </c>
      <c r="E3" s="9" t="s">
        <v>15</v>
      </c>
      <c r="F3" s="9" t="s">
        <v>10</v>
      </c>
      <c r="G3" s="9" t="s">
        <v>8</v>
      </c>
      <c r="H3" s="9" t="s">
        <v>15</v>
      </c>
      <c r="I3" s="34"/>
      <c r="J3" s="34"/>
    </row>
    <row r="4" spans="1:13">
      <c r="A4" s="10">
        <v>1</v>
      </c>
      <c r="B4" s="10" t="s">
        <v>21</v>
      </c>
      <c r="C4" s="10"/>
      <c r="D4" s="10"/>
      <c r="E4" s="10"/>
      <c r="F4" s="10"/>
      <c r="G4" s="10"/>
      <c r="H4" s="11"/>
      <c r="I4" s="12">
        <f>507.25/60</f>
        <v>8.4541666666666675</v>
      </c>
      <c r="J4" s="11">
        <v>2</v>
      </c>
    </row>
    <row r="5" spans="1:13">
      <c r="A5" s="10">
        <v>2</v>
      </c>
      <c r="B5" s="10" t="s">
        <v>24</v>
      </c>
      <c r="C5" s="10"/>
      <c r="D5" s="10"/>
      <c r="E5" s="10"/>
      <c r="F5" s="11"/>
      <c r="G5" s="10"/>
      <c r="H5" s="10"/>
      <c r="I5" s="12">
        <f>507.25/60</f>
        <v>8.4541666666666675</v>
      </c>
      <c r="J5" s="11">
        <v>1</v>
      </c>
    </row>
    <row r="6" spans="1:13">
      <c r="A6" s="10">
        <v>3</v>
      </c>
      <c r="B6" s="10" t="s">
        <v>29</v>
      </c>
      <c r="C6" s="10"/>
      <c r="D6" s="10"/>
      <c r="E6" s="10">
        <v>30</v>
      </c>
      <c r="F6" s="11"/>
      <c r="G6" s="11">
        <f>+E6*I6</f>
        <v>212.47499999999999</v>
      </c>
      <c r="H6" s="10"/>
      <c r="I6" s="12">
        <f>424.95/60</f>
        <v>7.0824999999999996</v>
      </c>
      <c r="J6" s="11">
        <v>1</v>
      </c>
    </row>
    <row r="7" spans="1:13">
      <c r="A7" s="10">
        <v>4</v>
      </c>
      <c r="B7" s="10" t="s">
        <v>22</v>
      </c>
      <c r="C7" s="10"/>
      <c r="D7" s="10"/>
      <c r="E7" s="10">
        <v>30</v>
      </c>
      <c r="F7" s="11"/>
      <c r="G7" s="11">
        <f>+I7*E7</f>
        <v>337.85500000000002</v>
      </c>
      <c r="H7" s="10"/>
      <c r="I7" s="12">
        <f>675.71/60</f>
        <v>11.261833333333334</v>
      </c>
      <c r="J7" s="11">
        <v>1</v>
      </c>
    </row>
    <row r="8" spans="1:13">
      <c r="A8" s="10">
        <v>5</v>
      </c>
      <c r="B8" s="10" t="s">
        <v>19</v>
      </c>
      <c r="C8" s="10"/>
      <c r="D8" s="10"/>
      <c r="E8" s="10"/>
      <c r="F8" s="11"/>
      <c r="G8" s="11"/>
      <c r="H8" s="10"/>
      <c r="I8" s="12">
        <f>789.72/60</f>
        <v>13.162000000000001</v>
      </c>
      <c r="J8" s="11">
        <v>2</v>
      </c>
    </row>
    <row r="9" spans="1:13">
      <c r="A9" s="10">
        <v>6</v>
      </c>
      <c r="B9" s="10" t="s">
        <v>7</v>
      </c>
      <c r="C9" s="10"/>
      <c r="D9" s="10"/>
      <c r="E9" s="10"/>
      <c r="F9" s="11"/>
      <c r="G9" s="11"/>
      <c r="H9" s="11"/>
      <c r="I9" s="12">
        <f>797.33/60</f>
        <v>13.288833333333335</v>
      </c>
      <c r="J9" s="11">
        <v>1</v>
      </c>
      <c r="M9" s="13"/>
    </row>
    <row r="10" spans="1:13">
      <c r="A10" s="10">
        <v>7</v>
      </c>
      <c r="B10" s="10" t="s">
        <v>9</v>
      </c>
      <c r="C10" s="10"/>
      <c r="D10" s="10"/>
      <c r="E10" s="10"/>
      <c r="F10" s="11"/>
      <c r="G10" s="11"/>
      <c r="H10" s="10"/>
      <c r="I10" s="12">
        <f>768.32/60</f>
        <v>12.805333333333333</v>
      </c>
      <c r="J10" s="11">
        <v>1</v>
      </c>
      <c r="M10" s="13"/>
    </row>
    <row r="11" spans="1:13">
      <c r="A11" s="10">
        <v>8</v>
      </c>
      <c r="B11" s="10" t="s">
        <v>41</v>
      </c>
      <c r="C11" s="10"/>
      <c r="D11" s="10">
        <v>15</v>
      </c>
      <c r="E11" s="10">
        <v>15</v>
      </c>
      <c r="F11" s="11"/>
      <c r="G11" s="11">
        <f>+D11*I11</f>
        <v>224.04249999999999</v>
      </c>
      <c r="H11" s="11">
        <f>+E11*I11</f>
        <v>224.04249999999999</v>
      </c>
      <c r="I11" s="12">
        <f>896.17/60</f>
        <v>14.936166666666667</v>
      </c>
      <c r="J11" s="11">
        <v>1</v>
      </c>
      <c r="M11" s="13"/>
    </row>
    <row r="12" spans="1:13">
      <c r="A12" s="10">
        <v>9</v>
      </c>
      <c r="B12" s="10" t="s">
        <v>14</v>
      </c>
      <c r="C12" s="10"/>
      <c r="D12" s="10"/>
      <c r="E12" s="10"/>
      <c r="F12" s="11"/>
      <c r="G12" s="11"/>
      <c r="H12" s="11"/>
      <c r="I12" s="12">
        <f>807.59/60</f>
        <v>13.459833333333334</v>
      </c>
      <c r="J12" s="11">
        <v>1</v>
      </c>
      <c r="M12" s="14"/>
    </row>
    <row r="13" spans="1:13">
      <c r="A13" s="10">
        <v>10</v>
      </c>
      <c r="B13" s="10" t="s">
        <v>42</v>
      </c>
      <c r="C13" s="10"/>
      <c r="D13" s="10"/>
      <c r="E13" s="10"/>
      <c r="F13" s="11"/>
      <c r="G13" s="11"/>
      <c r="H13" s="11"/>
      <c r="I13" s="12">
        <f>1049.5/60</f>
        <v>17.491666666666667</v>
      </c>
      <c r="J13" s="11">
        <v>1</v>
      </c>
      <c r="M13" s="13"/>
    </row>
    <row r="14" spans="1:13">
      <c r="A14" s="10">
        <v>11</v>
      </c>
      <c r="B14" s="10" t="s">
        <v>43</v>
      </c>
      <c r="C14" s="10"/>
      <c r="D14" s="10">
        <v>30</v>
      </c>
      <c r="E14" s="10"/>
      <c r="F14" s="11"/>
      <c r="G14" s="11">
        <f>+D14*I14</f>
        <v>566.61500000000001</v>
      </c>
      <c r="H14" s="11"/>
      <c r="I14" s="12">
        <f>1133.23/60</f>
        <v>18.887166666666666</v>
      </c>
      <c r="J14" s="11">
        <v>1</v>
      </c>
      <c r="M14" s="13"/>
    </row>
    <row r="15" spans="1:13">
      <c r="A15" s="10">
        <v>12</v>
      </c>
      <c r="B15" s="10" t="s">
        <v>44</v>
      </c>
      <c r="C15" s="10"/>
      <c r="D15" s="10">
        <v>30</v>
      </c>
      <c r="E15" s="10"/>
      <c r="F15" s="11"/>
      <c r="G15" s="11">
        <f>+D15*I15</f>
        <v>559.54999999999995</v>
      </c>
      <c r="H15" s="11"/>
      <c r="I15" s="12">
        <f>1119.1/60</f>
        <v>18.651666666666664</v>
      </c>
      <c r="J15" s="11">
        <v>2</v>
      </c>
    </row>
    <row r="16" spans="1:13">
      <c r="A16" s="10">
        <v>13</v>
      </c>
      <c r="B16" s="10" t="s">
        <v>45</v>
      </c>
      <c r="C16" s="10"/>
      <c r="D16" s="10"/>
      <c r="E16" s="10">
        <v>20</v>
      </c>
      <c r="F16" s="11"/>
      <c r="G16" s="10"/>
      <c r="H16" s="11">
        <f>+E16*I16</f>
        <v>385.70666666666659</v>
      </c>
      <c r="I16" s="12">
        <f>1157.12/60</f>
        <v>19.28533333333333</v>
      </c>
      <c r="J16" s="11">
        <v>0</v>
      </c>
    </row>
    <row r="17" spans="1:10">
      <c r="A17" s="10">
        <v>14</v>
      </c>
      <c r="B17" s="10" t="s">
        <v>20</v>
      </c>
      <c r="C17" s="10"/>
      <c r="D17" s="10"/>
      <c r="E17" s="10"/>
      <c r="F17" s="11"/>
      <c r="G17" s="10"/>
      <c r="H17" s="11"/>
      <c r="I17" s="12">
        <f>1172.06/60</f>
        <v>19.534333333333333</v>
      </c>
      <c r="J17" s="11">
        <v>1</v>
      </c>
    </row>
    <row r="18" spans="1:10">
      <c r="A18" s="10">
        <v>15</v>
      </c>
      <c r="B18" s="10" t="s">
        <v>23</v>
      </c>
      <c r="C18" s="10"/>
      <c r="D18" s="10"/>
      <c r="E18" s="10">
        <v>20</v>
      </c>
      <c r="F18" s="11"/>
      <c r="G18" s="10"/>
      <c r="H18" s="11">
        <f>+E18*I18</f>
        <v>390.68666666666667</v>
      </c>
      <c r="I18" s="12">
        <f>1172.06/60</f>
        <v>19.534333333333333</v>
      </c>
      <c r="J18" s="11">
        <v>1</v>
      </c>
    </row>
    <row r="19" spans="1:10">
      <c r="A19" s="10">
        <v>16</v>
      </c>
      <c r="B19" s="10" t="s">
        <v>40</v>
      </c>
      <c r="C19" s="10"/>
      <c r="D19" s="10"/>
      <c r="E19" s="10"/>
      <c r="F19" s="11"/>
      <c r="G19" s="10"/>
      <c r="H19" s="10"/>
      <c r="I19" s="12">
        <f>1555.62/60</f>
        <v>25.927</v>
      </c>
      <c r="J19" s="11">
        <v>3</v>
      </c>
    </row>
    <row r="20" spans="1:10">
      <c r="A20" s="10">
        <v>17</v>
      </c>
      <c r="B20" s="10" t="s">
        <v>16</v>
      </c>
      <c r="C20" s="10"/>
      <c r="D20" s="10"/>
      <c r="E20" s="10"/>
      <c r="F20" s="11"/>
      <c r="G20" s="10"/>
      <c r="H20" s="10"/>
      <c r="I20" s="12">
        <f>1580.3/60</f>
        <v>26.338333333333331</v>
      </c>
      <c r="J20" s="11">
        <v>3</v>
      </c>
    </row>
    <row r="21" spans="1:10">
      <c r="A21" s="10">
        <v>18</v>
      </c>
      <c r="B21" s="10" t="s">
        <v>11</v>
      </c>
      <c r="C21" s="10"/>
      <c r="D21" s="10"/>
      <c r="E21" s="10"/>
      <c r="F21" s="11"/>
      <c r="G21" s="10"/>
      <c r="H21" s="10"/>
      <c r="I21" s="12">
        <f>1738.83/60</f>
        <v>28.980499999999999</v>
      </c>
      <c r="J21" s="11">
        <v>5</v>
      </c>
    </row>
    <row r="22" spans="1:10">
      <c r="A22" s="10">
        <v>19</v>
      </c>
      <c r="B22" s="10" t="s">
        <v>17</v>
      </c>
      <c r="C22" s="10"/>
      <c r="D22" s="10"/>
      <c r="E22" s="10"/>
      <c r="F22" s="11"/>
      <c r="G22" s="10"/>
      <c r="H22" s="10"/>
      <c r="I22" s="12">
        <f>1809.59/60</f>
        <v>30.159833333333331</v>
      </c>
      <c r="J22" s="11">
        <v>3</v>
      </c>
    </row>
    <row r="23" spans="1:10">
      <c r="A23" s="10">
        <v>20</v>
      </c>
      <c r="B23" s="10" t="s">
        <v>12</v>
      </c>
      <c r="C23" s="10"/>
      <c r="D23" s="10"/>
      <c r="E23" s="10"/>
      <c r="F23" s="11"/>
      <c r="G23" s="11"/>
      <c r="H23" s="10"/>
      <c r="I23" s="12">
        <f>2077.22/60</f>
        <v>34.620333333333328</v>
      </c>
      <c r="J23" s="11">
        <v>3</v>
      </c>
    </row>
    <row r="24" spans="1:10">
      <c r="A24" s="10">
        <v>21</v>
      </c>
      <c r="B24" s="10" t="s">
        <v>18</v>
      </c>
      <c r="C24" s="10"/>
      <c r="D24" s="10"/>
      <c r="E24" s="10"/>
      <c r="F24" s="11"/>
      <c r="G24" s="10"/>
      <c r="H24" s="10"/>
      <c r="I24" s="12">
        <f>1816.7/60</f>
        <v>30.278333333333332</v>
      </c>
      <c r="J24" s="11">
        <v>3</v>
      </c>
    </row>
    <row r="25" spans="1:10" ht="18" customHeight="1">
      <c r="A25" s="37" t="s">
        <v>38</v>
      </c>
      <c r="B25" s="38"/>
      <c r="C25" s="10" t="s">
        <v>39</v>
      </c>
      <c r="D25" s="10">
        <v>75</v>
      </c>
      <c r="E25" s="10">
        <v>115</v>
      </c>
      <c r="F25" s="10" t="s">
        <v>39</v>
      </c>
      <c r="G25" s="10">
        <v>1901</v>
      </c>
      <c r="H25" s="10">
        <v>1000</v>
      </c>
      <c r="I25" s="15"/>
      <c r="J25" s="12"/>
    </row>
    <row r="26" spans="1:10" ht="18" customHeight="1">
      <c r="A26" s="39"/>
      <c r="B26" s="40"/>
      <c r="C26" s="41">
        <v>190</v>
      </c>
      <c r="D26" s="41"/>
      <c r="E26" s="41"/>
      <c r="F26" s="41">
        <v>2901</v>
      </c>
      <c r="G26" s="41"/>
      <c r="H26" s="41"/>
      <c r="I26" s="15"/>
      <c r="J26" s="12"/>
    </row>
  </sheetData>
  <mergeCells count="10">
    <mergeCell ref="J2:J3"/>
    <mergeCell ref="A1:J1"/>
    <mergeCell ref="A25:B26"/>
    <mergeCell ref="C26:E26"/>
    <mergeCell ref="F26:H26"/>
    <mergeCell ref="A2:A3"/>
    <mergeCell ref="B2:B3"/>
    <mergeCell ref="C2:E2"/>
    <mergeCell ref="F2:H2"/>
    <mergeCell ref="I2:I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MAN POWER SHORTAGE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2025-11-12T02:00:27Z</dcterms:created>
  <dcterms:modified xsi:type="dcterms:W3CDTF">2026-02-12T02:09:45Z</dcterms:modified>
</cp:coreProperties>
</file>